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Plan" state="visible" r:id="rId4"/>
    <sheet sheetId="2" name="Resource Pivot" state="visible" r:id="rId5"/>
  </sheets>
  <calcPr calcId="171027"/>
</workbook>
</file>

<file path=xl/sharedStrings.xml><?xml version="1.0" encoding="utf-8"?>
<sst xmlns="http://schemas.openxmlformats.org/spreadsheetml/2006/main" count="691" uniqueCount="181">
  <si>
    <t>sss — SAP S/4HANA Pre-Sales Plan (Greenfield)</t>
  </si>
  <si>
    <t>Phase Legend</t>
  </si>
  <si>
    <t>Discover</t>
  </si>
  <si>
    <t>Prepare</t>
  </si>
  <si>
    <t>Explore</t>
  </si>
  <si>
    <t>Realize - Develop</t>
  </si>
  <si>
    <t>Realize - UAT</t>
  </si>
  <si>
    <t>Deploy</t>
  </si>
  <si>
    <t>Run</t>
  </si>
  <si>
    <t/>
  </si>
  <si>
    <t>Calendar Week</t>
  </si>
  <si>
    <t>22 Mar</t>
  </si>
  <si>
    <t>29 Mar</t>
  </si>
  <si>
    <t>5 Apr</t>
  </si>
  <si>
    <t>12 Apr</t>
  </si>
  <si>
    <t>19 Apr</t>
  </si>
  <si>
    <t>26 Apr</t>
  </si>
  <si>
    <t>3 May</t>
  </si>
  <si>
    <t>10 May</t>
  </si>
  <si>
    <t>17 May</t>
  </si>
  <si>
    <t>24 May</t>
  </si>
  <si>
    <t>31 May</t>
  </si>
  <si>
    <t>7 Jun</t>
  </si>
  <si>
    <t>14 Jun</t>
  </si>
  <si>
    <t>21 Jun</t>
  </si>
  <si>
    <t>28 Jun</t>
  </si>
  <si>
    <t>5 Jul</t>
  </si>
  <si>
    <t>12 Jul</t>
  </si>
  <si>
    <t>19 Jul</t>
  </si>
  <si>
    <t>26 Jul</t>
  </si>
  <si>
    <t>2 Aug</t>
  </si>
  <si>
    <t>9 Aug</t>
  </si>
  <si>
    <t>16 Aug</t>
  </si>
  <si>
    <t>23 Aug</t>
  </si>
  <si>
    <t>30 Aug</t>
  </si>
  <si>
    <t>6 Sep</t>
  </si>
  <si>
    <t>13 Sep</t>
  </si>
  <si>
    <t>20 Sep</t>
  </si>
  <si>
    <t>27 Sep</t>
  </si>
  <si>
    <t>4 Oct</t>
  </si>
  <si>
    <t>11 Oct</t>
  </si>
  <si>
    <t>18 Oct</t>
  </si>
  <si>
    <t>25 Oct</t>
  </si>
  <si>
    <t>1 Nov</t>
  </si>
  <si>
    <t>8 Nov</t>
  </si>
  <si>
    <t>15 Nov</t>
  </si>
  <si>
    <t>22 Nov</t>
  </si>
  <si>
    <t>29 Nov</t>
  </si>
  <si>
    <t>Phase</t>
  </si>
  <si>
    <t>Activity</t>
  </si>
  <si>
    <t>Responsible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</si>
  <si>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</si>
  <si>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</si>
  <si>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</si>
  <si>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</si>
  <si>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</si>
  <si>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</si>
  <si>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</si>
  <si>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</si>
  <si>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</si>
  <si>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</si>
  <si>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</si>
  <si>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</si>
  <si>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</si>
  <si>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</si>
  <si>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</si>
  <si>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</si>
  <si>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</si>
  <si>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</si>
  <si>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</si>
  <si>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</si>
  <si>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</si>
  <si>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</si>
  <si>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</si>
  <si>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</si>
  <si>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</si>
  <si>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</si>
  <si>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</si>
  <si>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</si>
  <si>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</si>
  <si>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</si>
  <si>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</si>
  <si>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</si>
  <si>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</si>
  <si>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</si>
  <si>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</si>
  <si>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</si>
  <si>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</si>
  <si>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Stakeholder Alignment &amp; Vision Workshop</t>
  </si>
  <si>
    <t>Project Team</t>
  </si>
  <si>
    <t>Current State Assessment</t>
  </si>
  <si>
    <t>S/4HANA Business Case Development</t>
  </si>
  <si>
    <t>Solution Scope Definition</t>
  </si>
  <si>
    <t>High-Level Architecture Blueprint</t>
  </si>
  <si>
    <t>Executive Sponsorship Alignment</t>
  </si>
  <si>
    <t>Pre-Sales Presentation &amp; Sign-Off</t>
  </si>
  <si>
    <t>Project Charter &amp; Governance Setup</t>
  </si>
  <si>
    <t>SAP Activate Methodology Training</t>
  </si>
  <si>
    <t>System Landscape Design</t>
  </si>
  <si>
    <t>Project Standards &amp; Templates</t>
  </si>
  <si>
    <t>Risk Register Initialisation</t>
  </si>
  <si>
    <t>Vendor &amp; Partner Onboarding</t>
  </si>
  <si>
    <t>Infrastructure Procurement Plan</t>
  </si>
  <si>
    <t>Fit-to-Standard Workshops (Finance)</t>
  </si>
  <si>
    <t>Fit-to-Standard Workshops (SCM/Logistics)</t>
  </si>
  <si>
    <t>Fit-to-Standard Workshops (HR/Payroll)</t>
  </si>
  <si>
    <t>Delta Design Decisions Log</t>
  </si>
  <si>
    <t>Integration Architecture Design</t>
  </si>
  <si>
    <t>Data Migration Strategy</t>
  </si>
  <si>
    <t>Master Data Governance Framework</t>
  </si>
  <si>
    <t>System Configuration – Core Finance</t>
  </si>
  <si>
    <t>System Configuration – Procurement &amp; Inventory</t>
  </si>
  <si>
    <t>Custom Development (RICEFW)</t>
  </si>
  <si>
    <t>Integration Development (CPI/BTP)</t>
  </si>
  <si>
    <t>Unit Testing &amp; Code Reviews</t>
  </si>
  <si>
    <t>Master Data Load (Test Cycles)</t>
  </si>
  <si>
    <t>Security &amp; Authorisation Design</t>
  </si>
  <si>
    <t>User Acceptance Testing – Wave 1</t>
  </si>
  <si>
    <t>User Acceptance Testing – Wave 2</t>
  </si>
  <si>
    <t>Defect Management &amp; Resolution</t>
  </si>
  <si>
    <t>Cutover Strategy &amp; Runbook</t>
  </si>
  <si>
    <t>End-User Training Delivery</t>
  </si>
  <si>
    <t>Performance &amp; Volume Testing</t>
  </si>
  <si>
    <t>Dress Rehearsal Go-Live Simulation</t>
  </si>
  <si>
    <t>Production System Setup</t>
  </si>
  <si>
    <t>Final Data Migration &amp; Validation</t>
  </si>
  <si>
    <t>Go-Live Cutover Execution</t>
  </si>
  <si>
    <t>Hypercare Command Centre Setup</t>
  </si>
  <si>
    <t>Post Go-Live Issue Resolution</t>
  </si>
  <si>
    <t>Stabilisation Sign-Off</t>
  </si>
  <si>
    <t>Handover to Support Team</t>
  </si>
  <si>
    <t>Hypercare Support (Weeks 1–2)</t>
  </si>
  <si>
    <t>Issue Triage &amp; Resolution</t>
  </si>
  <si>
    <t>Performance Monitoring &amp; Tuning</t>
  </si>
  <si>
    <t>Knowledge Transfer &amp; Documentation</t>
  </si>
  <si>
    <t>Project Closure &amp; Lessons Learned</t>
  </si>
  <si>
    <t>Centre of Excellence Establishment</t>
  </si>
  <si>
    <t>Post-Implementation Review</t>
  </si>
  <si>
    <t>Resource Planning Matrix</t>
  </si>
  <si>
    <t>Role</t>
  </si>
  <si>
    <t>Description</t>
  </si>
  <si>
    <t>Location</t>
  </si>
  <si>
    <t>Level</t>
  </si>
  <si>
    <t>Total</t>
  </si>
  <si>
    <t>Solution Architect</t>
  </si>
  <si>
    <t>Functional</t>
  </si>
  <si>
    <t>Onsite</t>
  </si>
  <si>
    <t>Sol. Architect</t>
  </si>
  <si>
    <t>SAP Functional Consultant</t>
  </si>
  <si>
    <t>Sr</t>
  </si>
  <si>
    <t>Offshore</t>
  </si>
  <si>
    <t>Jr</t>
  </si>
  <si>
    <t>SAP Technical Consultant</t>
  </si>
  <si>
    <t>Technical</t>
  </si>
  <si>
    <t>ABAP / BTP Developer</t>
  </si>
  <si>
    <t>Integration Developer (CPI)</t>
  </si>
  <si>
    <t>SAP Basis Administrator</t>
  </si>
  <si>
    <t>Platform</t>
  </si>
  <si>
    <t>Security Consultant</t>
  </si>
  <si>
    <t>Project Manager</t>
  </si>
  <si>
    <t>Governance</t>
  </si>
  <si>
    <t>PM</t>
  </si>
  <si>
    <t>Service Delivery Manager</t>
  </si>
  <si>
    <t>SDM</t>
  </si>
  <si>
    <t>Change Management Lead</t>
  </si>
  <si>
    <t>QA / Test Lead</t>
  </si>
  <si>
    <t>Quality</t>
  </si>
  <si>
    <t>Infra / Cloud Engineer</t>
  </si>
  <si>
    <t>AI / Analytics Consultant</t>
  </si>
  <si>
    <t>AI</t>
  </si>
  <si>
    <t>GRAND TOTAL (All Roles)</t>
  </si>
  <si>
    <t>sss — Resource Effort Pivot by Year</t>
  </si>
  <si>
    <t>Transition: Greenfield | Total Weeks: 37 | Model: gemini-1.5-flash</t>
  </si>
  <si>
    <t>No</t>
  </si>
  <si>
    <t>2026</t>
  </si>
  <si>
    <t>TOTAL</t>
  </si>
  <si>
    <t>Summary by Level</t>
  </si>
  <si>
    <t>Junior</t>
  </si>
  <si>
    <t>Senior</t>
  </si>
  <si>
    <t>Summary by Description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</si>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</sst>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374151"/>
      <sz val="9"/>
      <name val="Calibri"/>
    </font>
    <font>
      <b/>
      <color rgb="FFFFFFFF"/>
      <sz val="9"/>
      <name val="Calibri"/>
    </font>
    <font>
      <b/>
      <color rgb="FF374151"/>
      <sz val="8"/>
      <name val="Calibri"/>
    </font>
    <font>
      <color rgb="FF6B7280"/>
      <sz val="8"/>
      <name val="Calibri"/>
    </font>
    <font>
      <color rgb="FF6B7280"/>
      <sz val="7"/>
      <name val="Calibri"/>
    </font>
    <font>
      <b/>
      <color rgb="FFFFFFFF"/>
      <sz val="10"/>
      <name val="Calibri"/>
    </font>
    <font>
      <b/>
      <color rgb="FFFFFFFF"/>
      <sz val="8"/>
      <name val="Calibri"/>
    </font>
    <font>
      <color rgb="FF111827"/>
      <sz val="9"/>
      <name val="Calibri"/>
    </font>
    <font>
      <color rgb="FF374151"/>
      <sz val="9"/>
      <name val="Calibri"/>
    </font>
    <font>
      <color rgb="FFFFFFFF"/>
      <sz val="8"/>
      <name val="Calibri"/>
    </font>
    <font>
      <color rgb="FFFFFFFF"/>
      <sz val="10"/>
      <name val="Calibri"/>
    </font>
    <font>
      <b/>
      <color rgb="FFFFFFFF"/>
      <sz val="11"/>
      <name val="Calibri"/>
    </font>
    <font>
      <b/>
      <color rgb="FF166534"/>
      <sz val="9"/>
      <name val="Calibri"/>
    </font>
    <font>
      <color rgb="FFCBD5E1"/>
      <sz val="10"/>
      <name val="Calibri"/>
    </font>
    <font>
      <color rgb="FF6B7280"/>
      <sz val="9"/>
      <name val="Calibri"/>
    </font>
    <font>
      <b/>
      <color rgb="FF111827"/>
      <sz val="9"/>
      <name val="Calibri"/>
    </font>
    <font>
      <b/>
      <color rgb="FF059669"/>
      <sz val="9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1E88E5"/>
      </patternFill>
    </fill>
    <fill>
      <patternFill patternType="solid">
        <fgColor rgb="FF43A047"/>
      </patternFill>
    </fill>
    <fill>
      <patternFill patternType="solid">
        <fgColor rgb="FFFB8C00"/>
      </patternFill>
    </fill>
    <fill>
      <patternFill patternType="solid">
        <fgColor rgb="FFFFD600"/>
      </patternFill>
    </fill>
    <fill>
      <patternFill patternType="solid">
        <fgColor rgb="FFE53935"/>
      </patternFill>
    </fill>
    <fill>
      <patternFill patternType="solid">
        <fgColor rgb="FF039BE5"/>
      </patternFill>
    </fill>
    <fill>
      <patternFill patternType="solid">
        <fgColor rgb="FF7B1FA2"/>
      </patternFill>
    </fill>
    <fill>
      <patternFill patternType="solid">
        <fgColor rgb="FFF1F5F9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F9C4"/>
      </patternFill>
    </fill>
    <fill>
      <patternFill patternType="solid">
        <fgColor rgb="FFFFEBEE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2E8F0"/>
      </patternFill>
    </fill>
    <fill>
      <patternFill patternType="solid">
        <fgColor rgb="FF334155"/>
      </patternFill>
    </fill>
    <fill>
      <patternFill patternType="solid">
        <fgColor rgb="FFF0FDF4"/>
      </patternFill>
    </fill>
    <fill>
      <patternFill patternType="solid">
        <fgColor rgb="FF059669"/>
      </patternFill>
    </fill>
    <fill>
      <patternFill patternType="solid">
        <fgColor rgb="FF475569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textRotation="90"/>
    </xf>
    <xf numFmtId="0" fontId="6" fillId="13" borderId="1" xfId="0" applyFont="1" applyFill="1" applyBorder="1" applyAlignment="1">
      <alignment horizontal="center" vertical="center" textRotation="90"/>
    </xf>
    <xf numFmtId="0" fontId="6" fillId="14" borderId="1" xfId="0" applyFont="1" applyFill="1" applyBorder="1" applyAlignment="1">
      <alignment horizontal="center" vertical="center" textRotation="90"/>
    </xf>
    <xf numFmtId="0" fontId="6" fillId="15" borderId="1" xfId="0" applyFont="1" applyFill="1" applyBorder="1" applyAlignment="1">
      <alignment horizontal="center" vertical="center" textRotation="90"/>
    </xf>
    <xf numFmtId="0" fontId="6" fillId="16" borderId="1" xfId="0" applyFont="1" applyFill="1" applyBorder="1" applyAlignment="1">
      <alignment horizontal="center" vertical="center" textRotation="90"/>
    </xf>
    <xf numFmtId="0" fontId="6" fillId="17" borderId="1" xfId="0" applyFont="1" applyFill="1" applyBorder="1" applyAlignment="1">
      <alignment horizontal="center" vertical="center" textRotation="90"/>
    </xf>
    <xf numFmtId="0" fontId="6" fillId="18" borderId="1" xfId="0" applyFont="1" applyFill="1" applyBorder="1" applyAlignment="1">
      <alignment horizontal="center" vertical="center" textRotation="90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 textRotation="90"/>
    </xf>
    <xf numFmtId="0" fontId="8" fillId="6" borderId="1" xfId="0" applyFont="1" applyFill="1" applyBorder="1" applyAlignment="1">
      <alignment horizontal="center" vertical="center" textRotation="90"/>
    </xf>
    <xf numFmtId="0" fontId="8" fillId="7" borderId="1" xfId="0" applyFont="1" applyFill="1" applyBorder="1" applyAlignment="1">
      <alignment horizontal="center" vertical="center" textRotation="90"/>
    </xf>
    <xf numFmtId="0" fontId="8" fillId="8" borderId="1" xfId="0" applyFont="1" applyFill="1" applyBorder="1" applyAlignment="1">
      <alignment horizontal="center" vertical="center" textRotation="90"/>
    </xf>
    <xf numFmtId="0" fontId="8" fillId="9" borderId="1" xfId="0" applyFont="1" applyFill="1" applyBorder="1" applyAlignment="1">
      <alignment horizontal="center" vertical="center" textRotation="90"/>
    </xf>
    <xf numFmtId="0" fontId="8" fillId="10" borderId="1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 textRotation="90"/>
    </xf>
    <xf numFmtId="0" fontId="9" fillId="19" borderId="1" xfId="0" applyFont="1" applyFill="1" applyBorder="1" applyAlignment="1">
      <alignment horizontal="left" vertical="center" wrapText="1"/>
    </xf>
    <xf numFmtId="0" fontId="10" fillId="1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textRotation="90"/>
    </xf>
    <xf numFmtId="0" fontId="1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textRotation="90"/>
    </xf>
    <xf numFmtId="0" fontId="1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textRotation="90"/>
    </xf>
    <xf numFmtId="0" fontId="1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textRotation="90"/>
    </xf>
    <xf numFmtId="0" fontId="1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textRotation="90"/>
    </xf>
    <xf numFmtId="0" fontId="11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textRotation="90"/>
    </xf>
    <xf numFmtId="0" fontId="11" fillId="1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left" vertical="center"/>
    </xf>
    <xf numFmtId="1" fontId="10" fillId="12" borderId="1" xfId="0" applyNumberFormat="1" applyFont="1" applyFill="1" applyBorder="1" applyAlignment="1">
      <alignment horizontal="center" vertical="center"/>
    </xf>
    <xf numFmtId="1" fontId="10" fillId="13" borderId="1" xfId="0" applyNumberFormat="1" applyFont="1" applyFill="1" applyBorder="1" applyAlignment="1">
      <alignment horizontal="center" vertical="center"/>
    </xf>
    <xf numFmtId="1" fontId="10" fillId="14" borderId="1" xfId="0" applyNumberFormat="1" applyFont="1" applyFill="1" applyBorder="1" applyAlignment="1">
      <alignment horizontal="center" vertical="center"/>
    </xf>
    <xf numFmtId="1" fontId="10" fillId="15" borderId="1" xfId="0" applyNumberFormat="1" applyFont="1" applyFill="1" applyBorder="1" applyAlignment="1">
      <alignment horizontal="center" vertical="center"/>
    </xf>
    <xf numFmtId="1" fontId="10" fillId="16" borderId="1" xfId="0" applyNumberFormat="1" applyFont="1" applyFill="1" applyBorder="1" applyAlignment="1">
      <alignment horizontal="center" vertical="center"/>
    </xf>
    <xf numFmtId="1" fontId="10" fillId="17" borderId="1" xfId="0" applyNumberFormat="1" applyFont="1" applyFill="1" applyBorder="1" applyAlignment="1">
      <alignment horizontal="center" vertical="center"/>
    </xf>
    <xf numFmtId="1" fontId="10" fillId="18" borderId="1" xfId="0" applyNumberFormat="1" applyFont="1" applyFill="1" applyBorder="1" applyAlignment="1">
      <alignment horizontal="center" vertical="center"/>
    </xf>
    <xf numFmtId="1" fontId="14" fillId="2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/>
    </xf>
    <xf numFmtId="1" fontId="7" fillId="23" borderId="1" xfId="0" applyNumberFormat="1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1" fontId="10" fillId="19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" fontId="18" fillId="3" borderId="1" xfId="0" applyNumberFormat="1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left" vertical="center"/>
    </xf>
    <xf numFmtId="1" fontId="18" fillId="1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8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18" customWidth="1"/>
    <col min="4" max="4" width="12" customWidth="1"/>
    <col min="5" max="40" width="4.5" customWidth="1"/>
    <col min="42" max="42" width="8" customWidth="1"/>
  </cols>
  <sheetData>
    <row r="1" ht="26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8" customHeight="1" spans="1:40" x14ac:dyDescent="0.25">
      <c r="A2" s="2" t="s">
        <v>1</v>
      </c>
      <c r="B2" s="2"/>
      <c r="C2" s="2"/>
      <c r="D2" s="3" t="s">
        <v>2</v>
      </c>
      <c r="E2" s="3"/>
      <c r="F2" s="3"/>
      <c r="G2" s="4" t="s">
        <v>3</v>
      </c>
      <c r="H2" s="4"/>
      <c r="I2" s="4"/>
      <c r="J2" s="4"/>
      <c r="K2" s="5" t="s">
        <v>4</v>
      </c>
      <c r="L2" s="5"/>
      <c r="M2" s="5"/>
      <c r="N2" s="5"/>
      <c r="O2" s="5"/>
      <c r="P2" s="5"/>
      <c r="Q2" s="6" t="s">
        <v>5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6</v>
      </c>
      <c r="AD2" s="7"/>
      <c r="AE2" s="7"/>
      <c r="AF2" s="7"/>
      <c r="AG2" s="7"/>
      <c r="AH2" s="7"/>
      <c r="AI2" s="8" t="s">
        <v>7</v>
      </c>
      <c r="AJ2" s="8"/>
      <c r="AK2" s="9" t="s">
        <v>8</v>
      </c>
      <c r="AL2" s="9"/>
      <c r="AM2" s="9"/>
      <c r="AN2" s="9"/>
    </row>
    <row r="3" ht="16" customHeight="1" spans="1:40" x14ac:dyDescent="0.25">
      <c r="A3" s="10" t="s">
        <v>9</v>
      </c>
      <c r="B3" s="10"/>
      <c r="C3" s="10"/>
      <c r="D3" s="11">
        <v>1</v>
      </c>
      <c r="E3" s="11">
        <v>2</v>
      </c>
      <c r="F3" s="11">
        <v>3</v>
      </c>
      <c r="G3" s="12">
        <v>4</v>
      </c>
      <c r="H3" s="12">
        <v>5</v>
      </c>
      <c r="I3" s="12">
        <v>6</v>
      </c>
      <c r="J3" s="12">
        <v>7</v>
      </c>
      <c r="K3" s="13">
        <v>8</v>
      </c>
      <c r="L3" s="13">
        <v>9</v>
      </c>
      <c r="M3" s="13">
        <v>10</v>
      </c>
      <c r="N3" s="13">
        <v>11</v>
      </c>
      <c r="O3" s="13">
        <v>12</v>
      </c>
      <c r="P3" s="13">
        <v>13</v>
      </c>
      <c r="Q3" s="14">
        <v>14</v>
      </c>
      <c r="R3" s="14">
        <v>15</v>
      </c>
      <c r="S3" s="14">
        <v>16</v>
      </c>
      <c r="T3" s="14">
        <v>17</v>
      </c>
      <c r="U3" s="14">
        <v>18</v>
      </c>
      <c r="V3" s="14">
        <v>19</v>
      </c>
      <c r="W3" s="14">
        <v>20</v>
      </c>
      <c r="X3" s="14">
        <v>21</v>
      </c>
      <c r="Y3" s="14">
        <v>22</v>
      </c>
      <c r="Z3" s="14">
        <v>23</v>
      </c>
      <c r="AA3" s="14">
        <v>24</v>
      </c>
      <c r="AB3" s="14">
        <v>25</v>
      </c>
      <c r="AC3" s="15">
        <v>26</v>
      </c>
      <c r="AD3" s="15">
        <v>27</v>
      </c>
      <c r="AE3" s="15">
        <v>28</v>
      </c>
      <c r="AF3" s="15">
        <v>29</v>
      </c>
      <c r="AG3" s="15">
        <v>30</v>
      </c>
      <c r="AH3" s="15">
        <v>31</v>
      </c>
      <c r="AI3" s="16">
        <v>32</v>
      </c>
      <c r="AJ3" s="16">
        <v>33</v>
      </c>
      <c r="AK3" s="17">
        <v>34</v>
      </c>
      <c r="AL3" s="17">
        <v>35</v>
      </c>
      <c r="AM3" s="17">
        <v>36</v>
      </c>
      <c r="AN3" s="17">
        <v>37</v>
      </c>
    </row>
    <row r="4" ht="42" customHeight="1" spans="1:40" x14ac:dyDescent="0.25">
      <c r="A4" s="18" t="s">
        <v>10</v>
      </c>
      <c r="B4" s="18"/>
      <c r="C4" s="18"/>
      <c r="D4" s="19" t="s">
        <v>11</v>
      </c>
      <c r="E4" s="19" t="s">
        <v>12</v>
      </c>
      <c r="F4" s="19" t="s">
        <v>13</v>
      </c>
      <c r="G4" s="20" t="s">
        <v>14</v>
      </c>
      <c r="H4" s="20" t="s">
        <v>15</v>
      </c>
      <c r="I4" s="20" t="s">
        <v>16</v>
      </c>
      <c r="J4" s="20" t="s">
        <v>17</v>
      </c>
      <c r="K4" s="21" t="s">
        <v>18</v>
      </c>
      <c r="L4" s="21" t="s">
        <v>19</v>
      </c>
      <c r="M4" s="21" t="s">
        <v>20</v>
      </c>
      <c r="N4" s="21" t="s">
        <v>21</v>
      </c>
      <c r="O4" s="21" t="s">
        <v>22</v>
      </c>
      <c r="P4" s="21" t="s">
        <v>23</v>
      </c>
      <c r="Q4" s="22" t="s">
        <v>24</v>
      </c>
      <c r="R4" s="22" t="s">
        <v>25</v>
      </c>
      <c r="S4" s="22" t="s">
        <v>26</v>
      </c>
      <c r="T4" s="22" t="s">
        <v>27</v>
      </c>
      <c r="U4" s="22" t="s">
        <v>28</v>
      </c>
      <c r="V4" s="22" t="s">
        <v>29</v>
      </c>
      <c r="W4" s="22" t="s">
        <v>30</v>
      </c>
      <c r="X4" s="22" t="s">
        <v>31</v>
      </c>
      <c r="Y4" s="22" t="s">
        <v>32</v>
      </c>
      <c r="Z4" s="22" t="s">
        <v>33</v>
      </c>
      <c r="AA4" s="22" t="s">
        <v>34</v>
      </c>
      <c r="AB4" s="22" t="s">
        <v>35</v>
      </c>
      <c r="AC4" s="23" t="s">
        <v>36</v>
      </c>
      <c r="AD4" s="23" t="s">
        <v>37</v>
      </c>
      <c r="AE4" s="23" t="s">
        <v>38</v>
      </c>
      <c r="AF4" s="23" t="s">
        <v>39</v>
      </c>
      <c r="AG4" s="23" t="s">
        <v>40</v>
      </c>
      <c r="AH4" s="23" t="s">
        <v>41</v>
      </c>
      <c r="AI4" s="24" t="s">
        <v>42</v>
      </c>
      <c r="AJ4" s="24" t="s">
        <v>43</v>
      </c>
      <c r="AK4" s="25" t="s">
        <v>44</v>
      </c>
      <c r="AL4" s="25" t="s">
        <v>45</v>
      </c>
      <c r="AM4" s="25" t="s">
        <v>46</v>
      </c>
      <c r="AN4" s="25" t="s">
        <v>47</v>
      </c>
    </row>
    <row r="5" ht="50" customHeight="1" spans="1:40" x14ac:dyDescent="0.25">
      <c r="A5" s="26" t="s">
        <v>48</v>
      </c>
      <c r="B5" s="27" t="s">
        <v>49</v>
      </c>
      <c r="C5" s="26" t="s">
        <v>50</v>
      </c>
      <c r="D5" s="28" t="s">
        <v>51</v>
      </c>
      <c r="E5" s="28" t="s">
        <v>52</v>
      </c>
      <c r="F5" s="28" t="s">
        <v>53</v>
      </c>
      <c r="G5" s="29" t="s">
        <v>54</v>
      </c>
      <c r="H5" s="29" t="s">
        <v>55</v>
      </c>
      <c r="I5" s="29" t="s">
        <v>56</v>
      </c>
      <c r="J5" s="29" t="s">
        <v>57</v>
      </c>
      <c r="K5" s="30" t="s">
        <v>58</v>
      </c>
      <c r="L5" s="30" t="s">
        <v>59</v>
      </c>
      <c r="M5" s="30" t="s">
        <v>60</v>
      </c>
      <c r="N5" s="30" t="s">
        <v>61</v>
      </c>
      <c r="O5" s="30" t="s">
        <v>62</v>
      </c>
      <c r="P5" s="30" t="s">
        <v>63</v>
      </c>
      <c r="Q5" s="31" t="s">
        <v>64</v>
      </c>
      <c r="R5" s="31" t="s">
        <v>65</v>
      </c>
      <c r="S5" s="31" t="s">
        <v>66</v>
      </c>
      <c r="T5" s="31" t="s">
        <v>67</v>
      </c>
      <c r="U5" s="31" t="s">
        <v>68</v>
      </c>
      <c r="V5" s="31" t="s">
        <v>69</v>
      </c>
      <c r="W5" s="31" t="s">
        <v>70</v>
      </c>
      <c r="X5" s="31" t="s">
        <v>71</v>
      </c>
      <c r="Y5" s="31" t="s">
        <v>72</v>
      </c>
      <c r="Z5" s="31" t="s">
        <v>73</v>
      </c>
      <c r="AA5" s="31" t="s">
        <v>74</v>
      </c>
      <c r="AB5" s="31" t="s">
        <v>75</v>
      </c>
      <c r="AC5" s="32" t="s">
        <v>76</v>
      </c>
      <c r="AD5" s="32" t="s">
        <v>77</v>
      </c>
      <c r="AE5" s="32" t="s">
        <v>78</v>
      </c>
      <c r="AF5" s="32" t="s">
        <v>79</v>
      </c>
      <c r="AG5" s="32" t="s">
        <v>80</v>
      </c>
      <c r="AH5" s="32" t="s">
        <v>81</v>
      </c>
      <c r="AI5" s="33" t="s">
        <v>82</v>
      </c>
      <c r="AJ5" s="33" t="s">
        <v>83</v>
      </c>
      <c r="AK5" s="34" t="s">
        <v>84</v>
      </c>
      <c r="AL5" s="34" t="s">
        <v>85</v>
      </c>
      <c r="AM5" s="34" t="s">
        <v>86</v>
      </c>
      <c r="AN5" s="34" t="s">
        <v>87</v>
      </c>
    </row>
    <row r="6" ht="16" customHeight="1" spans="1:40" x14ac:dyDescent="0.25">
      <c r="A6" s="35" t="s">
        <v>2</v>
      </c>
      <c r="B6" s="36" t="s">
        <v>88</v>
      </c>
      <c r="C6" s="37" t="s">
        <v>89</v>
      </c>
      <c r="D6" s="38" t="s">
        <v>9</v>
      </c>
      <c r="E6" s="38" t="s">
        <v>9</v>
      </c>
      <c r="F6" s="38" t="s">
        <v>9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</row>
    <row r="7" ht="16" customHeight="1" spans="1:40" x14ac:dyDescent="0.25">
      <c r="A7" s="35"/>
      <c r="B7" s="40" t="s">
        <v>90</v>
      </c>
      <c r="C7" s="41" t="s">
        <v>89</v>
      </c>
      <c r="D7" s="38" t="s">
        <v>9</v>
      </c>
      <c r="E7" s="38" t="s">
        <v>9</v>
      </c>
      <c r="F7" s="38" t="s">
        <v>9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</row>
    <row r="8" ht="16" customHeight="1" spans="1:40" x14ac:dyDescent="0.25">
      <c r="A8" s="35"/>
      <c r="B8" s="36" t="s">
        <v>91</v>
      </c>
      <c r="C8" s="37" t="s">
        <v>89</v>
      </c>
      <c r="D8" s="38" t="s">
        <v>9</v>
      </c>
      <c r="E8" s="38" t="s">
        <v>9</v>
      </c>
      <c r="F8" s="38" t="s">
        <v>9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</row>
    <row r="9" ht="16" customHeight="1" spans="1:40" x14ac:dyDescent="0.25">
      <c r="A9" s="35"/>
      <c r="B9" s="40" t="s">
        <v>92</v>
      </c>
      <c r="C9" s="41" t="s">
        <v>89</v>
      </c>
      <c r="D9" s="38" t="s">
        <v>9</v>
      </c>
      <c r="E9" s="38" t="s">
        <v>9</v>
      </c>
      <c r="F9" s="38" t="s">
        <v>9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</row>
    <row r="10" ht="16" customHeight="1" spans="1:40" x14ac:dyDescent="0.25">
      <c r="A10" s="35"/>
      <c r="B10" s="36" t="s">
        <v>93</v>
      </c>
      <c r="C10" s="37" t="s">
        <v>89</v>
      </c>
      <c r="D10" s="38" t="s">
        <v>9</v>
      </c>
      <c r="E10" s="38" t="s">
        <v>9</v>
      </c>
      <c r="F10" s="38" t="s">
        <v>9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</row>
    <row r="11" ht="16" customHeight="1" spans="1:40" x14ac:dyDescent="0.25">
      <c r="A11" s="35"/>
      <c r="B11" s="40" t="s">
        <v>94</v>
      </c>
      <c r="C11" s="41" t="s">
        <v>89</v>
      </c>
      <c r="D11" s="38" t="s">
        <v>9</v>
      </c>
      <c r="E11" s="38" t="s">
        <v>9</v>
      </c>
      <c r="F11" s="38" t="s">
        <v>9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</row>
    <row r="12" ht="16" customHeight="1" spans="1:40" x14ac:dyDescent="0.25">
      <c r="A12" s="35"/>
      <c r="B12" s="36" t="s">
        <v>95</v>
      </c>
      <c r="C12" s="37" t="s">
        <v>89</v>
      </c>
      <c r="D12" s="38" t="s">
        <v>9</v>
      </c>
      <c r="E12" s="38" t="s">
        <v>9</v>
      </c>
      <c r="F12" s="38" t="s">
        <v>9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</row>
    <row r="13" ht="16" customHeight="1" spans="1:40" x14ac:dyDescent="0.25">
      <c r="A13" s="42" t="s">
        <v>3</v>
      </c>
      <c r="B13" s="40" t="s">
        <v>96</v>
      </c>
      <c r="C13" s="41" t="s">
        <v>89</v>
      </c>
      <c r="D13" s="39"/>
      <c r="E13" s="39"/>
      <c r="F13" s="39"/>
      <c r="G13" s="43" t="s">
        <v>9</v>
      </c>
      <c r="H13" s="43" t="s">
        <v>9</v>
      </c>
      <c r="I13" s="43" t="s">
        <v>9</v>
      </c>
      <c r="J13" s="43" t="s">
        <v>9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</row>
    <row r="14" ht="16" customHeight="1" spans="1:40" x14ac:dyDescent="0.25">
      <c r="A14" s="42"/>
      <c r="B14" s="36" t="s">
        <v>97</v>
      </c>
      <c r="C14" s="37" t="s">
        <v>89</v>
      </c>
      <c r="D14" s="39"/>
      <c r="E14" s="39"/>
      <c r="F14" s="39"/>
      <c r="G14" s="43" t="s">
        <v>9</v>
      </c>
      <c r="H14" s="43" t="s">
        <v>9</v>
      </c>
      <c r="I14" s="43" t="s">
        <v>9</v>
      </c>
      <c r="J14" s="43" t="s">
        <v>9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</row>
    <row r="15" ht="16" customHeight="1" spans="1:40" x14ac:dyDescent="0.25">
      <c r="A15" s="42"/>
      <c r="B15" s="40" t="s">
        <v>98</v>
      </c>
      <c r="C15" s="41" t="s">
        <v>89</v>
      </c>
      <c r="D15" s="39"/>
      <c r="E15" s="39"/>
      <c r="F15" s="39"/>
      <c r="G15" s="43" t="s">
        <v>9</v>
      </c>
      <c r="H15" s="43" t="s">
        <v>9</v>
      </c>
      <c r="I15" s="43" t="s">
        <v>9</v>
      </c>
      <c r="J15" s="43" t="s">
        <v>9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</row>
    <row r="16" ht="16" customHeight="1" spans="1:40" x14ac:dyDescent="0.25">
      <c r="A16" s="42"/>
      <c r="B16" s="36" t="s">
        <v>99</v>
      </c>
      <c r="C16" s="37" t="s">
        <v>89</v>
      </c>
      <c r="D16" s="39"/>
      <c r="E16" s="39"/>
      <c r="F16" s="39"/>
      <c r="G16" s="43" t="s">
        <v>9</v>
      </c>
      <c r="H16" s="43" t="s">
        <v>9</v>
      </c>
      <c r="I16" s="43" t="s">
        <v>9</v>
      </c>
      <c r="J16" s="43" t="s">
        <v>9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</row>
    <row r="17" ht="16" customHeight="1" spans="1:40" x14ac:dyDescent="0.25">
      <c r="A17" s="42"/>
      <c r="B17" s="40" t="s">
        <v>100</v>
      </c>
      <c r="C17" s="41" t="s">
        <v>89</v>
      </c>
      <c r="D17" s="39"/>
      <c r="E17" s="39"/>
      <c r="F17" s="39"/>
      <c r="G17" s="43" t="s">
        <v>9</v>
      </c>
      <c r="H17" s="43" t="s">
        <v>9</v>
      </c>
      <c r="I17" s="43" t="s">
        <v>9</v>
      </c>
      <c r="J17" s="43" t="s">
        <v>9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</row>
    <row r="18" ht="16" customHeight="1" spans="1:40" x14ac:dyDescent="0.25">
      <c r="A18" s="42"/>
      <c r="B18" s="36" t="s">
        <v>101</v>
      </c>
      <c r="C18" s="37" t="s">
        <v>89</v>
      </c>
      <c r="D18" s="39"/>
      <c r="E18" s="39"/>
      <c r="F18" s="39"/>
      <c r="G18" s="43" t="s">
        <v>9</v>
      </c>
      <c r="H18" s="43" t="s">
        <v>9</v>
      </c>
      <c r="I18" s="43" t="s">
        <v>9</v>
      </c>
      <c r="J18" s="43" t="s">
        <v>9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</row>
    <row r="19" ht="16" customHeight="1" spans="1:40" x14ac:dyDescent="0.25">
      <c r="A19" s="42"/>
      <c r="B19" s="40" t="s">
        <v>102</v>
      </c>
      <c r="C19" s="41" t="s">
        <v>89</v>
      </c>
      <c r="D19" s="39"/>
      <c r="E19" s="39"/>
      <c r="F19" s="39"/>
      <c r="G19" s="43" t="s">
        <v>9</v>
      </c>
      <c r="H19" s="43" t="s">
        <v>9</v>
      </c>
      <c r="I19" s="43" t="s">
        <v>9</v>
      </c>
      <c r="J19" s="43" t="s">
        <v>9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</row>
    <row r="20" ht="16" customHeight="1" spans="1:40" x14ac:dyDescent="0.25">
      <c r="A20" s="44" t="s">
        <v>4</v>
      </c>
      <c r="B20" s="36" t="s">
        <v>103</v>
      </c>
      <c r="C20" s="37" t="s">
        <v>89</v>
      </c>
      <c r="D20" s="39"/>
      <c r="E20" s="39"/>
      <c r="F20" s="39"/>
      <c r="G20" s="39"/>
      <c r="H20" s="39"/>
      <c r="I20" s="39"/>
      <c r="J20" s="39"/>
      <c r="K20" s="45" t="s">
        <v>9</v>
      </c>
      <c r="L20" s="45" t="s">
        <v>9</v>
      </c>
      <c r="M20" s="45" t="s">
        <v>9</v>
      </c>
      <c r="N20" s="45" t="s">
        <v>9</v>
      </c>
      <c r="O20" s="45" t="s">
        <v>9</v>
      </c>
      <c r="P20" s="45" t="s">
        <v>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</row>
    <row r="21" ht="16" customHeight="1" spans="1:40" x14ac:dyDescent="0.25">
      <c r="A21" s="44"/>
      <c r="B21" s="40" t="s">
        <v>104</v>
      </c>
      <c r="C21" s="41" t="s">
        <v>89</v>
      </c>
      <c r="D21" s="39"/>
      <c r="E21" s="39"/>
      <c r="F21" s="39"/>
      <c r="G21" s="39"/>
      <c r="H21" s="39"/>
      <c r="I21" s="39"/>
      <c r="J21" s="39"/>
      <c r="K21" s="45" t="s">
        <v>9</v>
      </c>
      <c r="L21" s="45" t="s">
        <v>9</v>
      </c>
      <c r="M21" s="45" t="s">
        <v>9</v>
      </c>
      <c r="N21" s="45" t="s">
        <v>9</v>
      </c>
      <c r="O21" s="45" t="s">
        <v>9</v>
      </c>
      <c r="P21" s="45" t="s">
        <v>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</row>
    <row r="22" ht="16" customHeight="1" spans="1:40" x14ac:dyDescent="0.25">
      <c r="A22" s="44"/>
      <c r="B22" s="36" t="s">
        <v>105</v>
      </c>
      <c r="C22" s="37" t="s">
        <v>89</v>
      </c>
      <c r="D22" s="39"/>
      <c r="E22" s="39"/>
      <c r="F22" s="39"/>
      <c r="G22" s="39"/>
      <c r="H22" s="39"/>
      <c r="I22" s="39"/>
      <c r="J22" s="39"/>
      <c r="K22" s="45" t="s">
        <v>9</v>
      </c>
      <c r="L22" s="45" t="s">
        <v>9</v>
      </c>
      <c r="M22" s="45" t="s">
        <v>9</v>
      </c>
      <c r="N22" s="45" t="s">
        <v>9</v>
      </c>
      <c r="O22" s="45" t="s">
        <v>9</v>
      </c>
      <c r="P22" s="45" t="s">
        <v>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</row>
    <row r="23" ht="16" customHeight="1" spans="1:40" x14ac:dyDescent="0.25">
      <c r="A23" s="44"/>
      <c r="B23" s="40" t="s">
        <v>106</v>
      </c>
      <c r="C23" s="41" t="s">
        <v>89</v>
      </c>
      <c r="D23" s="39"/>
      <c r="E23" s="39"/>
      <c r="F23" s="39"/>
      <c r="G23" s="39"/>
      <c r="H23" s="39"/>
      <c r="I23" s="39"/>
      <c r="J23" s="39"/>
      <c r="K23" s="45" t="s">
        <v>9</v>
      </c>
      <c r="L23" s="45" t="s">
        <v>9</v>
      </c>
      <c r="M23" s="45" t="s">
        <v>9</v>
      </c>
      <c r="N23" s="45" t="s">
        <v>9</v>
      </c>
      <c r="O23" s="45" t="s">
        <v>9</v>
      </c>
      <c r="P23" s="45" t="s">
        <v>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</row>
    <row r="24" ht="16" customHeight="1" spans="1:40" x14ac:dyDescent="0.25">
      <c r="A24" s="44"/>
      <c r="B24" s="36" t="s">
        <v>107</v>
      </c>
      <c r="C24" s="37" t="s">
        <v>89</v>
      </c>
      <c r="D24" s="39"/>
      <c r="E24" s="39"/>
      <c r="F24" s="39"/>
      <c r="G24" s="39"/>
      <c r="H24" s="39"/>
      <c r="I24" s="39"/>
      <c r="J24" s="39"/>
      <c r="K24" s="45" t="s">
        <v>9</v>
      </c>
      <c r="L24" s="45" t="s">
        <v>9</v>
      </c>
      <c r="M24" s="45" t="s">
        <v>9</v>
      </c>
      <c r="N24" s="45" t="s">
        <v>9</v>
      </c>
      <c r="O24" s="45" t="s">
        <v>9</v>
      </c>
      <c r="P24" s="45" t="s">
        <v>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</row>
    <row r="25" ht="16" customHeight="1" spans="1:40" x14ac:dyDescent="0.25">
      <c r="A25" s="44"/>
      <c r="B25" s="40" t="s">
        <v>108</v>
      </c>
      <c r="C25" s="41" t="s">
        <v>89</v>
      </c>
      <c r="D25" s="39"/>
      <c r="E25" s="39"/>
      <c r="F25" s="39"/>
      <c r="G25" s="39"/>
      <c r="H25" s="39"/>
      <c r="I25" s="39"/>
      <c r="J25" s="39"/>
      <c r="K25" s="45" t="s">
        <v>9</v>
      </c>
      <c r="L25" s="45" t="s">
        <v>9</v>
      </c>
      <c r="M25" s="45" t="s">
        <v>9</v>
      </c>
      <c r="N25" s="45" t="s">
        <v>9</v>
      </c>
      <c r="O25" s="45" t="s">
        <v>9</v>
      </c>
      <c r="P25" s="45" t="s">
        <v>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</row>
    <row r="26" ht="16" customHeight="1" spans="1:40" x14ac:dyDescent="0.25">
      <c r="A26" s="44"/>
      <c r="B26" s="36" t="s">
        <v>109</v>
      </c>
      <c r="C26" s="37" t="s">
        <v>89</v>
      </c>
      <c r="D26" s="39"/>
      <c r="E26" s="39"/>
      <c r="F26" s="39"/>
      <c r="G26" s="39"/>
      <c r="H26" s="39"/>
      <c r="I26" s="39"/>
      <c r="J26" s="39"/>
      <c r="K26" s="45" t="s">
        <v>9</v>
      </c>
      <c r="L26" s="45" t="s">
        <v>9</v>
      </c>
      <c r="M26" s="45" t="s">
        <v>9</v>
      </c>
      <c r="N26" s="45" t="s">
        <v>9</v>
      </c>
      <c r="O26" s="45" t="s">
        <v>9</v>
      </c>
      <c r="P26" s="45" t="s">
        <v>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</row>
    <row r="27" ht="16" customHeight="1" spans="1:40" x14ac:dyDescent="0.25">
      <c r="A27" s="46" t="s">
        <v>5</v>
      </c>
      <c r="B27" s="40" t="s">
        <v>110</v>
      </c>
      <c r="C27" s="41" t="s">
        <v>89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47" t="s">
        <v>9</v>
      </c>
      <c r="R27" s="47" t="s">
        <v>9</v>
      </c>
      <c r="S27" s="47" t="s">
        <v>9</v>
      </c>
      <c r="T27" s="47" t="s">
        <v>9</v>
      </c>
      <c r="U27" s="47" t="s">
        <v>9</v>
      </c>
      <c r="V27" s="47" t="s">
        <v>9</v>
      </c>
      <c r="W27" s="47" t="s">
        <v>9</v>
      </c>
      <c r="X27" s="47" t="s">
        <v>9</v>
      </c>
      <c r="Y27" s="47" t="s">
        <v>9</v>
      </c>
      <c r="Z27" s="47" t="s">
        <v>9</v>
      </c>
      <c r="AA27" s="47" t="s">
        <v>9</v>
      </c>
      <c r="AB27" s="47" t="s">
        <v>9</v>
      </c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</row>
    <row r="28" ht="16" customHeight="1" spans="1:40" x14ac:dyDescent="0.25">
      <c r="A28" s="46"/>
      <c r="B28" s="36" t="s">
        <v>111</v>
      </c>
      <c r="C28" s="37" t="s">
        <v>89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7" t="s">
        <v>9</v>
      </c>
      <c r="R28" s="47" t="s">
        <v>9</v>
      </c>
      <c r="S28" s="47" t="s">
        <v>9</v>
      </c>
      <c r="T28" s="47" t="s">
        <v>9</v>
      </c>
      <c r="U28" s="47" t="s">
        <v>9</v>
      </c>
      <c r="V28" s="47" t="s">
        <v>9</v>
      </c>
      <c r="W28" s="47" t="s">
        <v>9</v>
      </c>
      <c r="X28" s="47" t="s">
        <v>9</v>
      </c>
      <c r="Y28" s="47" t="s">
        <v>9</v>
      </c>
      <c r="Z28" s="47" t="s">
        <v>9</v>
      </c>
      <c r="AA28" s="47" t="s">
        <v>9</v>
      </c>
      <c r="AB28" s="47" t="s">
        <v>9</v>
      </c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</row>
    <row r="29" ht="16" customHeight="1" spans="1:40" x14ac:dyDescent="0.25">
      <c r="A29" s="46"/>
      <c r="B29" s="40" t="s">
        <v>112</v>
      </c>
      <c r="C29" s="41" t="s">
        <v>89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7" t="s">
        <v>9</v>
      </c>
      <c r="R29" s="47" t="s">
        <v>9</v>
      </c>
      <c r="S29" s="47" t="s">
        <v>9</v>
      </c>
      <c r="T29" s="47" t="s">
        <v>9</v>
      </c>
      <c r="U29" s="47" t="s">
        <v>9</v>
      </c>
      <c r="V29" s="47" t="s">
        <v>9</v>
      </c>
      <c r="W29" s="47" t="s">
        <v>9</v>
      </c>
      <c r="X29" s="47" t="s">
        <v>9</v>
      </c>
      <c r="Y29" s="47" t="s">
        <v>9</v>
      </c>
      <c r="Z29" s="47" t="s">
        <v>9</v>
      </c>
      <c r="AA29" s="47" t="s">
        <v>9</v>
      </c>
      <c r="AB29" s="47" t="s">
        <v>9</v>
      </c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</row>
    <row r="30" ht="16" customHeight="1" spans="1:40" x14ac:dyDescent="0.25">
      <c r="A30" s="46"/>
      <c r="B30" s="36" t="s">
        <v>113</v>
      </c>
      <c r="C30" s="37" t="s">
        <v>89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7" t="s">
        <v>9</v>
      </c>
      <c r="R30" s="47" t="s">
        <v>9</v>
      </c>
      <c r="S30" s="47" t="s">
        <v>9</v>
      </c>
      <c r="T30" s="47" t="s">
        <v>9</v>
      </c>
      <c r="U30" s="47" t="s">
        <v>9</v>
      </c>
      <c r="V30" s="47" t="s">
        <v>9</v>
      </c>
      <c r="W30" s="47" t="s">
        <v>9</v>
      </c>
      <c r="X30" s="47" t="s">
        <v>9</v>
      </c>
      <c r="Y30" s="47" t="s">
        <v>9</v>
      </c>
      <c r="Z30" s="47" t="s">
        <v>9</v>
      </c>
      <c r="AA30" s="47" t="s">
        <v>9</v>
      </c>
      <c r="AB30" s="47" t="s">
        <v>9</v>
      </c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</row>
    <row r="31" ht="16" customHeight="1" spans="1:40" x14ac:dyDescent="0.25">
      <c r="A31" s="46"/>
      <c r="B31" s="40" t="s">
        <v>114</v>
      </c>
      <c r="C31" s="41" t="s">
        <v>89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47" t="s">
        <v>9</v>
      </c>
      <c r="R31" s="47" t="s">
        <v>9</v>
      </c>
      <c r="S31" s="47" t="s">
        <v>9</v>
      </c>
      <c r="T31" s="47" t="s">
        <v>9</v>
      </c>
      <c r="U31" s="47" t="s">
        <v>9</v>
      </c>
      <c r="V31" s="47" t="s">
        <v>9</v>
      </c>
      <c r="W31" s="47" t="s">
        <v>9</v>
      </c>
      <c r="X31" s="47" t="s">
        <v>9</v>
      </c>
      <c r="Y31" s="47" t="s">
        <v>9</v>
      </c>
      <c r="Z31" s="47" t="s">
        <v>9</v>
      </c>
      <c r="AA31" s="47" t="s">
        <v>9</v>
      </c>
      <c r="AB31" s="47" t="s">
        <v>9</v>
      </c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</row>
    <row r="32" ht="16" customHeight="1" spans="1:40" x14ac:dyDescent="0.25">
      <c r="A32" s="46"/>
      <c r="B32" s="36" t="s">
        <v>115</v>
      </c>
      <c r="C32" s="37" t="s">
        <v>89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7" t="s">
        <v>9</v>
      </c>
      <c r="R32" s="47" t="s">
        <v>9</v>
      </c>
      <c r="S32" s="47" t="s">
        <v>9</v>
      </c>
      <c r="T32" s="47" t="s">
        <v>9</v>
      </c>
      <c r="U32" s="47" t="s">
        <v>9</v>
      </c>
      <c r="V32" s="47" t="s">
        <v>9</v>
      </c>
      <c r="W32" s="47" t="s">
        <v>9</v>
      </c>
      <c r="X32" s="47" t="s">
        <v>9</v>
      </c>
      <c r="Y32" s="47" t="s">
        <v>9</v>
      </c>
      <c r="Z32" s="47" t="s">
        <v>9</v>
      </c>
      <c r="AA32" s="47" t="s">
        <v>9</v>
      </c>
      <c r="AB32" s="47" t="s">
        <v>9</v>
      </c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</row>
    <row r="33" ht="16" customHeight="1" spans="1:40" x14ac:dyDescent="0.25">
      <c r="A33" s="46"/>
      <c r="B33" s="40" t="s">
        <v>116</v>
      </c>
      <c r="C33" s="41" t="s">
        <v>89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7" t="s">
        <v>9</v>
      </c>
      <c r="R33" s="47" t="s">
        <v>9</v>
      </c>
      <c r="S33" s="47" t="s">
        <v>9</v>
      </c>
      <c r="T33" s="47" t="s">
        <v>9</v>
      </c>
      <c r="U33" s="47" t="s">
        <v>9</v>
      </c>
      <c r="V33" s="47" t="s">
        <v>9</v>
      </c>
      <c r="W33" s="47" t="s">
        <v>9</v>
      </c>
      <c r="X33" s="47" t="s">
        <v>9</v>
      </c>
      <c r="Y33" s="47" t="s">
        <v>9</v>
      </c>
      <c r="Z33" s="47" t="s">
        <v>9</v>
      </c>
      <c r="AA33" s="47" t="s">
        <v>9</v>
      </c>
      <c r="AB33" s="47" t="s">
        <v>9</v>
      </c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</row>
    <row r="34" ht="16" customHeight="1" spans="1:40" x14ac:dyDescent="0.25">
      <c r="A34" s="48" t="s">
        <v>6</v>
      </c>
      <c r="B34" s="36" t="s">
        <v>117</v>
      </c>
      <c r="C34" s="37" t="s">
        <v>89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49" t="s">
        <v>9</v>
      </c>
      <c r="AD34" s="49" t="s">
        <v>9</v>
      </c>
      <c r="AE34" s="49" t="s">
        <v>9</v>
      </c>
      <c r="AF34" s="49" t="s">
        <v>9</v>
      </c>
      <c r="AG34" s="49" t="s">
        <v>9</v>
      </c>
      <c r="AH34" s="49" t="s">
        <v>9</v>
      </c>
      <c r="AI34" s="39"/>
      <c r="AJ34" s="39"/>
      <c r="AK34" s="39"/>
      <c r="AL34" s="39"/>
      <c r="AM34" s="39"/>
      <c r="AN34" s="39"/>
    </row>
    <row r="35" ht="16" customHeight="1" spans="1:40" x14ac:dyDescent="0.25">
      <c r="A35" s="48"/>
      <c r="B35" s="40" t="s">
        <v>118</v>
      </c>
      <c r="C35" s="41" t="s">
        <v>89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49" t="s">
        <v>9</v>
      </c>
      <c r="AD35" s="49" t="s">
        <v>9</v>
      </c>
      <c r="AE35" s="49" t="s">
        <v>9</v>
      </c>
      <c r="AF35" s="49" t="s">
        <v>9</v>
      </c>
      <c r="AG35" s="49" t="s">
        <v>9</v>
      </c>
      <c r="AH35" s="49" t="s">
        <v>9</v>
      </c>
      <c r="AI35" s="39"/>
      <c r="AJ35" s="39"/>
      <c r="AK35" s="39"/>
      <c r="AL35" s="39"/>
      <c r="AM35" s="39"/>
      <c r="AN35" s="39"/>
    </row>
    <row r="36" ht="16" customHeight="1" spans="1:40" x14ac:dyDescent="0.25">
      <c r="A36" s="48"/>
      <c r="B36" s="36" t="s">
        <v>119</v>
      </c>
      <c r="C36" s="37" t="s">
        <v>89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49" t="s">
        <v>9</v>
      </c>
      <c r="AD36" s="49" t="s">
        <v>9</v>
      </c>
      <c r="AE36" s="49" t="s">
        <v>9</v>
      </c>
      <c r="AF36" s="49" t="s">
        <v>9</v>
      </c>
      <c r="AG36" s="49" t="s">
        <v>9</v>
      </c>
      <c r="AH36" s="49" t="s">
        <v>9</v>
      </c>
      <c r="AI36" s="39"/>
      <c r="AJ36" s="39"/>
      <c r="AK36" s="39"/>
      <c r="AL36" s="39"/>
      <c r="AM36" s="39"/>
      <c r="AN36" s="39"/>
    </row>
    <row r="37" ht="16" customHeight="1" spans="1:40" x14ac:dyDescent="0.25">
      <c r="A37" s="48"/>
      <c r="B37" s="40" t="s">
        <v>120</v>
      </c>
      <c r="C37" s="41" t="s">
        <v>89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49" t="s">
        <v>9</v>
      </c>
      <c r="AD37" s="49" t="s">
        <v>9</v>
      </c>
      <c r="AE37" s="49" t="s">
        <v>9</v>
      </c>
      <c r="AF37" s="49" t="s">
        <v>9</v>
      </c>
      <c r="AG37" s="49" t="s">
        <v>9</v>
      </c>
      <c r="AH37" s="49" t="s">
        <v>9</v>
      </c>
      <c r="AI37" s="39"/>
      <c r="AJ37" s="39"/>
      <c r="AK37" s="39"/>
      <c r="AL37" s="39"/>
      <c r="AM37" s="39"/>
      <c r="AN37" s="39"/>
    </row>
    <row r="38" ht="16" customHeight="1" spans="1:40" x14ac:dyDescent="0.25">
      <c r="A38" s="48"/>
      <c r="B38" s="36" t="s">
        <v>121</v>
      </c>
      <c r="C38" s="37" t="s">
        <v>89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49" t="s">
        <v>9</v>
      </c>
      <c r="AD38" s="49" t="s">
        <v>9</v>
      </c>
      <c r="AE38" s="49" t="s">
        <v>9</v>
      </c>
      <c r="AF38" s="49" t="s">
        <v>9</v>
      </c>
      <c r="AG38" s="49" t="s">
        <v>9</v>
      </c>
      <c r="AH38" s="49" t="s">
        <v>9</v>
      </c>
      <c r="AI38" s="39"/>
      <c r="AJ38" s="39"/>
      <c r="AK38" s="39"/>
      <c r="AL38" s="39"/>
      <c r="AM38" s="39"/>
      <c r="AN38" s="39"/>
    </row>
    <row r="39" ht="16" customHeight="1" spans="1:40" x14ac:dyDescent="0.25">
      <c r="A39" s="48"/>
      <c r="B39" s="40" t="s">
        <v>122</v>
      </c>
      <c r="C39" s="41" t="s">
        <v>89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49" t="s">
        <v>9</v>
      </c>
      <c r="AD39" s="49" t="s">
        <v>9</v>
      </c>
      <c r="AE39" s="49" t="s">
        <v>9</v>
      </c>
      <c r="AF39" s="49" t="s">
        <v>9</v>
      </c>
      <c r="AG39" s="49" t="s">
        <v>9</v>
      </c>
      <c r="AH39" s="49" t="s">
        <v>9</v>
      </c>
      <c r="AI39" s="39"/>
      <c r="AJ39" s="39"/>
      <c r="AK39" s="39"/>
      <c r="AL39" s="39"/>
      <c r="AM39" s="39"/>
      <c r="AN39" s="39"/>
    </row>
    <row r="40" ht="16" customHeight="1" spans="1:40" x14ac:dyDescent="0.25">
      <c r="A40" s="48"/>
      <c r="B40" s="36" t="s">
        <v>123</v>
      </c>
      <c r="C40" s="37" t="s">
        <v>89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49" t="s">
        <v>9</v>
      </c>
      <c r="AD40" s="49" t="s">
        <v>9</v>
      </c>
      <c r="AE40" s="49" t="s">
        <v>9</v>
      </c>
      <c r="AF40" s="49" t="s">
        <v>9</v>
      </c>
      <c r="AG40" s="49" t="s">
        <v>9</v>
      </c>
      <c r="AH40" s="49" t="s">
        <v>9</v>
      </c>
      <c r="AI40" s="39"/>
      <c r="AJ40" s="39"/>
      <c r="AK40" s="39"/>
      <c r="AL40" s="39"/>
      <c r="AM40" s="39"/>
      <c r="AN40" s="39"/>
    </row>
    <row r="41" ht="16" customHeight="1" spans="1:40" x14ac:dyDescent="0.25">
      <c r="A41" s="50" t="s">
        <v>7</v>
      </c>
      <c r="B41" s="40" t="s">
        <v>124</v>
      </c>
      <c r="C41" s="41" t="s">
        <v>89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51" t="s">
        <v>9</v>
      </c>
      <c r="AJ41" s="51" t="s">
        <v>9</v>
      </c>
      <c r="AK41" s="39"/>
      <c r="AL41" s="39"/>
      <c r="AM41" s="39"/>
      <c r="AN41" s="39"/>
    </row>
    <row r="42" ht="16" customHeight="1" spans="1:40" x14ac:dyDescent="0.25">
      <c r="A42" s="50"/>
      <c r="B42" s="36" t="s">
        <v>125</v>
      </c>
      <c r="C42" s="37" t="s">
        <v>89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51" t="s">
        <v>9</v>
      </c>
      <c r="AJ42" s="51" t="s">
        <v>9</v>
      </c>
      <c r="AK42" s="39"/>
      <c r="AL42" s="39"/>
      <c r="AM42" s="39"/>
      <c r="AN42" s="39"/>
    </row>
    <row r="43" ht="16" customHeight="1" spans="1:40" x14ac:dyDescent="0.25">
      <c r="A43" s="50"/>
      <c r="B43" s="40" t="s">
        <v>126</v>
      </c>
      <c r="C43" s="41" t="s">
        <v>89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51" t="s">
        <v>9</v>
      </c>
      <c r="AJ43" s="51" t="s">
        <v>9</v>
      </c>
      <c r="AK43" s="39"/>
      <c r="AL43" s="39"/>
      <c r="AM43" s="39"/>
      <c r="AN43" s="39"/>
    </row>
    <row r="44" ht="16" customHeight="1" spans="1:40" x14ac:dyDescent="0.25">
      <c r="A44" s="50"/>
      <c r="B44" s="36" t="s">
        <v>127</v>
      </c>
      <c r="C44" s="37" t="s">
        <v>89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51" t="s">
        <v>9</v>
      </c>
      <c r="AJ44" s="51" t="s">
        <v>9</v>
      </c>
      <c r="AK44" s="39"/>
      <c r="AL44" s="39"/>
      <c r="AM44" s="39"/>
      <c r="AN44" s="39"/>
    </row>
    <row r="45" ht="16" customHeight="1" spans="1:40" x14ac:dyDescent="0.25">
      <c r="A45" s="50"/>
      <c r="B45" s="40" t="s">
        <v>128</v>
      </c>
      <c r="C45" s="41" t="s">
        <v>89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51" t="s">
        <v>9</v>
      </c>
      <c r="AJ45" s="51" t="s">
        <v>9</v>
      </c>
      <c r="AK45" s="39"/>
      <c r="AL45" s="39"/>
      <c r="AM45" s="39"/>
      <c r="AN45" s="39"/>
    </row>
    <row r="46" ht="16" customHeight="1" spans="1:40" x14ac:dyDescent="0.25">
      <c r="A46" s="50"/>
      <c r="B46" s="36" t="s">
        <v>129</v>
      </c>
      <c r="C46" s="37" t="s">
        <v>89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51" t="s">
        <v>9</v>
      </c>
      <c r="AJ46" s="51" t="s">
        <v>9</v>
      </c>
      <c r="AK46" s="39"/>
      <c r="AL46" s="39"/>
      <c r="AM46" s="39"/>
      <c r="AN46" s="39"/>
    </row>
    <row r="47" ht="16" customHeight="1" spans="1:40" x14ac:dyDescent="0.25">
      <c r="A47" s="50"/>
      <c r="B47" s="40" t="s">
        <v>130</v>
      </c>
      <c r="C47" s="41" t="s">
        <v>89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51" t="s">
        <v>9</v>
      </c>
      <c r="AJ47" s="51" t="s">
        <v>9</v>
      </c>
      <c r="AK47" s="39"/>
      <c r="AL47" s="39"/>
      <c r="AM47" s="39"/>
      <c r="AN47" s="39"/>
    </row>
    <row r="48" ht="16" customHeight="1" spans="1:40" x14ac:dyDescent="0.25">
      <c r="A48" s="52" t="s">
        <v>8</v>
      </c>
      <c r="B48" s="36" t="s">
        <v>131</v>
      </c>
      <c r="C48" s="37" t="s">
        <v>89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53" t="s">
        <v>9</v>
      </c>
      <c r="AL48" s="53" t="s">
        <v>9</v>
      </c>
      <c r="AM48" s="53" t="s">
        <v>9</v>
      </c>
      <c r="AN48" s="53" t="s">
        <v>9</v>
      </c>
    </row>
    <row r="49" ht="16" customHeight="1" spans="1:40" x14ac:dyDescent="0.25">
      <c r="A49" s="52"/>
      <c r="B49" s="40" t="s">
        <v>132</v>
      </c>
      <c r="C49" s="41" t="s">
        <v>89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53" t="s">
        <v>9</v>
      </c>
      <c r="AL49" s="53" t="s">
        <v>9</v>
      </c>
      <c r="AM49" s="53" t="s">
        <v>9</v>
      </c>
      <c r="AN49" s="53" t="s">
        <v>9</v>
      </c>
    </row>
    <row r="50" ht="16" customHeight="1" spans="1:40" x14ac:dyDescent="0.25">
      <c r="A50" s="52"/>
      <c r="B50" s="36" t="s">
        <v>133</v>
      </c>
      <c r="C50" s="37" t="s">
        <v>89</v>
      </c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53" t="s">
        <v>9</v>
      </c>
      <c r="AL50" s="53" t="s">
        <v>9</v>
      </c>
      <c r="AM50" s="53" t="s">
        <v>9</v>
      </c>
      <c r="AN50" s="53" t="s">
        <v>9</v>
      </c>
    </row>
    <row r="51" ht="16" customHeight="1" spans="1:40" x14ac:dyDescent="0.25">
      <c r="A51" s="52"/>
      <c r="B51" s="40" t="s">
        <v>134</v>
      </c>
      <c r="C51" s="41" t="s">
        <v>89</v>
      </c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53" t="s">
        <v>9</v>
      </c>
      <c r="AL51" s="53" t="s">
        <v>9</v>
      </c>
      <c r="AM51" s="53" t="s">
        <v>9</v>
      </c>
      <c r="AN51" s="53" t="s">
        <v>9</v>
      </c>
    </row>
    <row r="52" ht="16" customHeight="1" spans="1:40" x14ac:dyDescent="0.25">
      <c r="A52" s="52"/>
      <c r="B52" s="36" t="s">
        <v>135</v>
      </c>
      <c r="C52" s="37" t="s">
        <v>89</v>
      </c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53" t="s">
        <v>9</v>
      </c>
      <c r="AL52" s="53" t="s">
        <v>9</v>
      </c>
      <c r="AM52" s="53" t="s">
        <v>9</v>
      </c>
      <c r="AN52" s="53" t="s">
        <v>9</v>
      </c>
    </row>
    <row r="53" ht="16" customHeight="1" spans="1:40" x14ac:dyDescent="0.25">
      <c r="A53" s="52"/>
      <c r="B53" s="40" t="s">
        <v>136</v>
      </c>
      <c r="C53" s="41" t="s">
        <v>89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53" t="s">
        <v>9</v>
      </c>
      <c r="AL53" s="53" t="s">
        <v>9</v>
      </c>
      <c r="AM53" s="53" t="s">
        <v>9</v>
      </c>
      <c r="AN53" s="53" t="s">
        <v>9</v>
      </c>
    </row>
    <row r="54" ht="16" customHeight="1" spans="1:40" x14ac:dyDescent="0.25">
      <c r="A54" s="52"/>
      <c r="B54" s="36" t="s">
        <v>137</v>
      </c>
      <c r="C54" s="37" t="s">
        <v>89</v>
      </c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53" t="s">
        <v>9</v>
      </c>
      <c r="AL54" s="53" t="s">
        <v>9</v>
      </c>
      <c r="AM54" s="53" t="s">
        <v>9</v>
      </c>
      <c r="AN54" s="53" t="s">
        <v>9</v>
      </c>
    </row>
    <row r="55" ht="10" customHeight="1" spans="1:40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</row>
    <row r="56" ht="22" customHeight="1" spans="1:41" x14ac:dyDescent="0.25">
      <c r="A56" s="55" t="s">
        <v>138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</row>
    <row r="57" ht="50" customHeight="1" spans="1:42" x14ac:dyDescent="0.25">
      <c r="A57" s="56" t="s">
        <v>139</v>
      </c>
      <c r="B57" s="56" t="s">
        <v>140</v>
      </c>
      <c r="C57" s="56" t="s">
        <v>141</v>
      </c>
      <c r="D57" s="56" t="s">
        <v>142</v>
      </c>
      <c r="E57" s="28" t="s">
        <v>51</v>
      </c>
      <c r="F57" s="28" t="s">
        <v>52</v>
      </c>
      <c r="G57" s="28" t="s">
        <v>53</v>
      </c>
      <c r="H57" s="29" t="s">
        <v>54</v>
      </c>
      <c r="I57" s="29" t="s">
        <v>55</v>
      </c>
      <c r="J57" s="29" t="s">
        <v>56</v>
      </c>
      <c r="K57" s="29" t="s">
        <v>57</v>
      </c>
      <c r="L57" s="30" t="s">
        <v>58</v>
      </c>
      <c r="M57" s="30" t="s">
        <v>59</v>
      </c>
      <c r="N57" s="30" t="s">
        <v>60</v>
      </c>
      <c r="O57" s="30" t="s">
        <v>61</v>
      </c>
      <c r="P57" s="30" t="s">
        <v>62</v>
      </c>
      <c r="Q57" s="30" t="s">
        <v>63</v>
      </c>
      <c r="R57" s="31" t="s">
        <v>64</v>
      </c>
      <c r="S57" s="31" t="s">
        <v>65</v>
      </c>
      <c r="T57" s="31" t="s">
        <v>66</v>
      </c>
      <c r="U57" s="31" t="s">
        <v>67</v>
      </c>
      <c r="V57" s="31" t="s">
        <v>68</v>
      </c>
      <c r="W57" s="31" t="s">
        <v>69</v>
      </c>
      <c r="X57" s="31" t="s">
        <v>70</v>
      </c>
      <c r="Y57" s="31" t="s">
        <v>71</v>
      </c>
      <c r="Z57" s="31" t="s">
        <v>72</v>
      </c>
      <c r="AA57" s="31" t="s">
        <v>73</v>
      </c>
      <c r="AB57" s="31" t="s">
        <v>74</v>
      </c>
      <c r="AC57" s="31" t="s">
        <v>75</v>
      </c>
      <c r="AD57" s="32" t="s">
        <v>76</v>
      </c>
      <c r="AE57" s="32" t="s">
        <v>77</v>
      </c>
      <c r="AF57" s="32" t="s">
        <v>78</v>
      </c>
      <c r="AG57" s="32" t="s">
        <v>79</v>
      </c>
      <c r="AH57" s="32" t="s">
        <v>80</v>
      </c>
      <c r="AI57" s="32" t="s">
        <v>81</v>
      </c>
      <c r="AJ57" s="33" t="s">
        <v>82</v>
      </c>
      <c r="AK57" s="33" t="s">
        <v>83</v>
      </c>
      <c r="AL57" s="34" t="s">
        <v>84</v>
      </c>
      <c r="AM57" s="34" t="s">
        <v>85</v>
      </c>
      <c r="AN57" s="34" t="s">
        <v>86</v>
      </c>
      <c r="AO57" s="34" t="s">
        <v>87</v>
      </c>
      <c r="AP57" s="57" t="s">
        <v>143</v>
      </c>
    </row>
    <row r="58" ht="16" customHeight="1" spans="1:42" x14ac:dyDescent="0.25">
      <c r="A58" s="58" t="s">
        <v>144</v>
      </c>
      <c r="B58" s="37" t="s">
        <v>145</v>
      </c>
      <c r="C58" s="37" t="s">
        <v>146</v>
      </c>
      <c r="D58" s="37" t="s">
        <v>147</v>
      </c>
      <c r="E58" s="59"/>
      <c r="F58" s="59"/>
      <c r="G58" s="59"/>
      <c r="H58" s="60"/>
      <c r="I58" s="60"/>
      <c r="J58" s="60"/>
      <c r="K58" s="60"/>
      <c r="L58" s="61"/>
      <c r="M58" s="61"/>
      <c r="N58" s="61"/>
      <c r="O58" s="61"/>
      <c r="P58" s="61"/>
      <c r="Q58" s="61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3"/>
      <c r="AE58" s="63"/>
      <c r="AF58" s="63"/>
      <c r="AG58" s="63"/>
      <c r="AH58" s="63"/>
      <c r="AI58" s="63"/>
      <c r="AJ58" s="64"/>
      <c r="AK58" s="64"/>
      <c r="AL58" s="65"/>
      <c r="AM58" s="65"/>
      <c r="AN58" s="65"/>
      <c r="AO58" s="65"/>
      <c r="AP58" s="66">
        <f>SUM(E58:AO58)</f>
        <v>0</v>
      </c>
    </row>
    <row r="59" ht="16" customHeight="1" spans="1:42" x14ac:dyDescent="0.25">
      <c r="A59" s="67" t="s">
        <v>148</v>
      </c>
      <c r="B59" s="41" t="s">
        <v>145</v>
      </c>
      <c r="C59" s="41" t="s">
        <v>146</v>
      </c>
      <c r="D59" s="41" t="s">
        <v>149</v>
      </c>
      <c r="E59" s="59"/>
      <c r="F59" s="59"/>
      <c r="G59" s="59"/>
      <c r="H59" s="60"/>
      <c r="I59" s="60"/>
      <c r="J59" s="60"/>
      <c r="K59" s="60"/>
      <c r="L59" s="61"/>
      <c r="M59" s="61"/>
      <c r="N59" s="61"/>
      <c r="O59" s="61"/>
      <c r="P59" s="61"/>
      <c r="Q59" s="61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3"/>
      <c r="AE59" s="63"/>
      <c r="AF59" s="63"/>
      <c r="AG59" s="63"/>
      <c r="AH59" s="63"/>
      <c r="AI59" s="63"/>
      <c r="AJ59" s="64"/>
      <c r="AK59" s="64"/>
      <c r="AL59" s="65"/>
      <c r="AM59" s="65"/>
      <c r="AN59" s="65"/>
      <c r="AO59" s="65"/>
      <c r="AP59" s="66">
        <f>SUM(E59:AO59)</f>
        <v>0</v>
      </c>
    </row>
    <row r="60" ht="16" customHeight="1" spans="1:42" x14ac:dyDescent="0.25">
      <c r="A60" s="58" t="s">
        <v>148</v>
      </c>
      <c r="B60" s="37" t="s">
        <v>145</v>
      </c>
      <c r="C60" s="37" t="s">
        <v>150</v>
      </c>
      <c r="D60" s="37" t="s">
        <v>149</v>
      </c>
      <c r="E60" s="59"/>
      <c r="F60" s="59"/>
      <c r="G60" s="59"/>
      <c r="H60" s="60"/>
      <c r="I60" s="60"/>
      <c r="J60" s="60"/>
      <c r="K60" s="60"/>
      <c r="L60" s="61"/>
      <c r="M60" s="61"/>
      <c r="N60" s="61"/>
      <c r="O60" s="61"/>
      <c r="P60" s="61"/>
      <c r="Q60" s="61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3"/>
      <c r="AE60" s="63"/>
      <c r="AF60" s="63"/>
      <c r="AG60" s="63"/>
      <c r="AH60" s="63"/>
      <c r="AI60" s="63"/>
      <c r="AJ60" s="64"/>
      <c r="AK60" s="64"/>
      <c r="AL60" s="65"/>
      <c r="AM60" s="65"/>
      <c r="AN60" s="65"/>
      <c r="AO60" s="65"/>
      <c r="AP60" s="66">
        <f>SUM(E60:AO60)</f>
        <v>0</v>
      </c>
    </row>
    <row r="61" ht="16" customHeight="1" spans="1:42" x14ac:dyDescent="0.25">
      <c r="A61" s="67" t="s">
        <v>148</v>
      </c>
      <c r="B61" s="41" t="s">
        <v>145</v>
      </c>
      <c r="C61" s="41" t="s">
        <v>150</v>
      </c>
      <c r="D61" s="41" t="s">
        <v>151</v>
      </c>
      <c r="E61" s="59"/>
      <c r="F61" s="59"/>
      <c r="G61" s="59"/>
      <c r="H61" s="60"/>
      <c r="I61" s="60"/>
      <c r="J61" s="60"/>
      <c r="K61" s="60"/>
      <c r="L61" s="61"/>
      <c r="M61" s="61"/>
      <c r="N61" s="61"/>
      <c r="O61" s="61"/>
      <c r="P61" s="61"/>
      <c r="Q61" s="61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3"/>
      <c r="AE61" s="63"/>
      <c r="AF61" s="63"/>
      <c r="AG61" s="63"/>
      <c r="AH61" s="63"/>
      <c r="AI61" s="63"/>
      <c r="AJ61" s="64"/>
      <c r="AK61" s="64"/>
      <c r="AL61" s="65"/>
      <c r="AM61" s="65"/>
      <c r="AN61" s="65"/>
      <c r="AO61" s="65"/>
      <c r="AP61" s="66">
        <f>SUM(E61:AO61)</f>
        <v>0</v>
      </c>
    </row>
    <row r="62" ht="16" customHeight="1" spans="1:42" x14ac:dyDescent="0.25">
      <c r="A62" s="58" t="s">
        <v>152</v>
      </c>
      <c r="B62" s="37" t="s">
        <v>153</v>
      </c>
      <c r="C62" s="37" t="s">
        <v>150</v>
      </c>
      <c r="D62" s="37" t="s">
        <v>149</v>
      </c>
      <c r="E62" s="59"/>
      <c r="F62" s="59"/>
      <c r="G62" s="59"/>
      <c r="H62" s="60"/>
      <c r="I62" s="60"/>
      <c r="J62" s="60"/>
      <c r="K62" s="60"/>
      <c r="L62" s="61"/>
      <c r="M62" s="61"/>
      <c r="N62" s="61"/>
      <c r="O62" s="61"/>
      <c r="P62" s="61"/>
      <c r="Q62" s="61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3"/>
      <c r="AE62" s="63"/>
      <c r="AF62" s="63"/>
      <c r="AG62" s="63"/>
      <c r="AH62" s="63"/>
      <c r="AI62" s="63"/>
      <c r="AJ62" s="64"/>
      <c r="AK62" s="64"/>
      <c r="AL62" s="65"/>
      <c r="AM62" s="65"/>
      <c r="AN62" s="65"/>
      <c r="AO62" s="65"/>
      <c r="AP62" s="66">
        <f>SUM(E62:AO62)</f>
        <v>0</v>
      </c>
    </row>
    <row r="63" ht="16" customHeight="1" spans="1:42" x14ac:dyDescent="0.25">
      <c r="A63" s="67" t="s">
        <v>154</v>
      </c>
      <c r="B63" s="41" t="s">
        <v>153</v>
      </c>
      <c r="C63" s="41" t="s">
        <v>150</v>
      </c>
      <c r="D63" s="41" t="s">
        <v>151</v>
      </c>
      <c r="E63" s="59"/>
      <c r="F63" s="59"/>
      <c r="G63" s="59"/>
      <c r="H63" s="60"/>
      <c r="I63" s="60"/>
      <c r="J63" s="60"/>
      <c r="K63" s="60"/>
      <c r="L63" s="61"/>
      <c r="M63" s="61"/>
      <c r="N63" s="61"/>
      <c r="O63" s="61"/>
      <c r="P63" s="61"/>
      <c r="Q63" s="61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3"/>
      <c r="AE63" s="63"/>
      <c r="AF63" s="63"/>
      <c r="AG63" s="63"/>
      <c r="AH63" s="63"/>
      <c r="AI63" s="63"/>
      <c r="AJ63" s="64"/>
      <c r="AK63" s="64"/>
      <c r="AL63" s="65"/>
      <c r="AM63" s="65"/>
      <c r="AN63" s="65"/>
      <c r="AO63" s="65"/>
      <c r="AP63" s="66">
        <f>SUM(E63:AO63)</f>
        <v>0</v>
      </c>
    </row>
    <row r="64" ht="16" customHeight="1" spans="1:42" x14ac:dyDescent="0.25">
      <c r="A64" s="58" t="s">
        <v>155</v>
      </c>
      <c r="B64" s="37" t="s">
        <v>153</v>
      </c>
      <c r="C64" s="37" t="s">
        <v>150</v>
      </c>
      <c r="D64" s="37" t="s">
        <v>149</v>
      </c>
      <c r="E64" s="59"/>
      <c r="F64" s="59"/>
      <c r="G64" s="59"/>
      <c r="H64" s="60"/>
      <c r="I64" s="60"/>
      <c r="J64" s="60"/>
      <c r="K64" s="60"/>
      <c r="L64" s="61"/>
      <c r="M64" s="61"/>
      <c r="N64" s="61"/>
      <c r="O64" s="61"/>
      <c r="P64" s="61"/>
      <c r="Q64" s="61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3"/>
      <c r="AE64" s="63"/>
      <c r="AF64" s="63"/>
      <c r="AG64" s="63"/>
      <c r="AH64" s="63"/>
      <c r="AI64" s="63"/>
      <c r="AJ64" s="64"/>
      <c r="AK64" s="64"/>
      <c r="AL64" s="65"/>
      <c r="AM64" s="65"/>
      <c r="AN64" s="65"/>
      <c r="AO64" s="65"/>
      <c r="AP64" s="66">
        <f>SUM(E64:AO64)</f>
        <v>0</v>
      </c>
    </row>
    <row r="65" ht="16" customHeight="1" spans="1:42" x14ac:dyDescent="0.25">
      <c r="A65" s="67" t="s">
        <v>156</v>
      </c>
      <c r="B65" s="41" t="s">
        <v>157</v>
      </c>
      <c r="C65" s="41" t="s">
        <v>150</v>
      </c>
      <c r="D65" s="41" t="s">
        <v>149</v>
      </c>
      <c r="E65" s="59"/>
      <c r="F65" s="59"/>
      <c r="G65" s="59"/>
      <c r="H65" s="60"/>
      <c r="I65" s="60"/>
      <c r="J65" s="60"/>
      <c r="K65" s="60"/>
      <c r="L65" s="61"/>
      <c r="M65" s="61"/>
      <c r="N65" s="61"/>
      <c r="O65" s="61"/>
      <c r="P65" s="61"/>
      <c r="Q65" s="61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3"/>
      <c r="AE65" s="63"/>
      <c r="AF65" s="63"/>
      <c r="AG65" s="63"/>
      <c r="AH65" s="63"/>
      <c r="AI65" s="63"/>
      <c r="AJ65" s="64"/>
      <c r="AK65" s="64"/>
      <c r="AL65" s="65"/>
      <c r="AM65" s="65"/>
      <c r="AN65" s="65"/>
      <c r="AO65" s="65"/>
      <c r="AP65" s="66">
        <f>SUM(E65:AO65)</f>
        <v>0</v>
      </c>
    </row>
    <row r="66" ht="16" customHeight="1" spans="1:42" x14ac:dyDescent="0.25">
      <c r="A66" s="58" t="s">
        <v>158</v>
      </c>
      <c r="B66" s="37" t="s">
        <v>153</v>
      </c>
      <c r="C66" s="37" t="s">
        <v>146</v>
      </c>
      <c r="D66" s="37" t="s">
        <v>149</v>
      </c>
      <c r="E66" s="59"/>
      <c r="F66" s="59"/>
      <c r="G66" s="59"/>
      <c r="H66" s="60"/>
      <c r="I66" s="60"/>
      <c r="J66" s="60"/>
      <c r="K66" s="60"/>
      <c r="L66" s="61"/>
      <c r="M66" s="61"/>
      <c r="N66" s="61"/>
      <c r="O66" s="61"/>
      <c r="P66" s="61"/>
      <c r="Q66" s="61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3"/>
      <c r="AE66" s="63"/>
      <c r="AF66" s="63"/>
      <c r="AG66" s="63"/>
      <c r="AH66" s="63"/>
      <c r="AI66" s="63"/>
      <c r="AJ66" s="64"/>
      <c r="AK66" s="64"/>
      <c r="AL66" s="65"/>
      <c r="AM66" s="65"/>
      <c r="AN66" s="65"/>
      <c r="AO66" s="65"/>
      <c r="AP66" s="66">
        <f>SUM(E66:AO66)</f>
        <v>0</v>
      </c>
    </row>
    <row r="67" ht="16" customHeight="1" spans="1:42" x14ac:dyDescent="0.25">
      <c r="A67" s="67" t="s">
        <v>159</v>
      </c>
      <c r="B67" s="41" t="s">
        <v>160</v>
      </c>
      <c r="C67" s="41" t="s">
        <v>146</v>
      </c>
      <c r="D67" s="41" t="s">
        <v>161</v>
      </c>
      <c r="E67" s="59"/>
      <c r="F67" s="59"/>
      <c r="G67" s="59"/>
      <c r="H67" s="60"/>
      <c r="I67" s="60"/>
      <c r="J67" s="60"/>
      <c r="K67" s="60"/>
      <c r="L67" s="61"/>
      <c r="M67" s="61"/>
      <c r="N67" s="61"/>
      <c r="O67" s="61"/>
      <c r="P67" s="61"/>
      <c r="Q67" s="61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3"/>
      <c r="AE67" s="63"/>
      <c r="AF67" s="63"/>
      <c r="AG67" s="63"/>
      <c r="AH67" s="63"/>
      <c r="AI67" s="63"/>
      <c r="AJ67" s="64"/>
      <c r="AK67" s="64"/>
      <c r="AL67" s="65"/>
      <c r="AM67" s="65"/>
      <c r="AN67" s="65"/>
      <c r="AO67" s="65"/>
      <c r="AP67" s="66">
        <f>SUM(E67:AO67)</f>
        <v>0</v>
      </c>
    </row>
    <row r="68" ht="16" customHeight="1" spans="1:42" x14ac:dyDescent="0.25">
      <c r="A68" s="58" t="s">
        <v>162</v>
      </c>
      <c r="B68" s="37" t="s">
        <v>160</v>
      </c>
      <c r="C68" s="37" t="s">
        <v>146</v>
      </c>
      <c r="D68" s="37" t="s">
        <v>163</v>
      </c>
      <c r="E68" s="59"/>
      <c r="F68" s="59"/>
      <c r="G68" s="59"/>
      <c r="H68" s="60"/>
      <c r="I68" s="60"/>
      <c r="J68" s="60"/>
      <c r="K68" s="60"/>
      <c r="L68" s="61"/>
      <c r="M68" s="61"/>
      <c r="N68" s="61"/>
      <c r="O68" s="61"/>
      <c r="P68" s="61"/>
      <c r="Q68" s="61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3"/>
      <c r="AE68" s="63"/>
      <c r="AF68" s="63"/>
      <c r="AG68" s="63"/>
      <c r="AH68" s="63"/>
      <c r="AI68" s="63"/>
      <c r="AJ68" s="64"/>
      <c r="AK68" s="64"/>
      <c r="AL68" s="65"/>
      <c r="AM68" s="65"/>
      <c r="AN68" s="65"/>
      <c r="AO68" s="65"/>
      <c r="AP68" s="66">
        <f>SUM(E68:AO68)</f>
        <v>0</v>
      </c>
    </row>
    <row r="69" ht="16" customHeight="1" spans="1:42" x14ac:dyDescent="0.25">
      <c r="A69" s="67" t="s">
        <v>164</v>
      </c>
      <c r="B69" s="41" t="s">
        <v>160</v>
      </c>
      <c r="C69" s="41" t="s">
        <v>146</v>
      </c>
      <c r="D69" s="41" t="s">
        <v>149</v>
      </c>
      <c r="E69" s="59"/>
      <c r="F69" s="59"/>
      <c r="G69" s="59"/>
      <c r="H69" s="60"/>
      <c r="I69" s="60"/>
      <c r="J69" s="60"/>
      <c r="K69" s="60"/>
      <c r="L69" s="61"/>
      <c r="M69" s="61"/>
      <c r="N69" s="61"/>
      <c r="O69" s="61"/>
      <c r="P69" s="61"/>
      <c r="Q69" s="61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3"/>
      <c r="AE69" s="63"/>
      <c r="AF69" s="63"/>
      <c r="AG69" s="63"/>
      <c r="AH69" s="63"/>
      <c r="AI69" s="63"/>
      <c r="AJ69" s="64"/>
      <c r="AK69" s="64"/>
      <c r="AL69" s="65"/>
      <c r="AM69" s="65"/>
      <c r="AN69" s="65"/>
      <c r="AO69" s="65"/>
      <c r="AP69" s="66">
        <f>SUM(E69:AO69)</f>
        <v>0</v>
      </c>
    </row>
    <row r="70" ht="16" customHeight="1" spans="1:42" x14ac:dyDescent="0.25">
      <c r="A70" s="58" t="s">
        <v>165</v>
      </c>
      <c r="B70" s="37" t="s">
        <v>166</v>
      </c>
      <c r="C70" s="37" t="s">
        <v>146</v>
      </c>
      <c r="D70" s="37" t="s">
        <v>149</v>
      </c>
      <c r="E70" s="59"/>
      <c r="F70" s="59"/>
      <c r="G70" s="59"/>
      <c r="H70" s="60"/>
      <c r="I70" s="60"/>
      <c r="J70" s="60"/>
      <c r="K70" s="60"/>
      <c r="L70" s="61"/>
      <c r="M70" s="61"/>
      <c r="N70" s="61"/>
      <c r="O70" s="61"/>
      <c r="P70" s="61"/>
      <c r="Q70" s="61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3"/>
      <c r="AE70" s="63"/>
      <c r="AF70" s="63"/>
      <c r="AG70" s="63"/>
      <c r="AH70" s="63"/>
      <c r="AI70" s="63"/>
      <c r="AJ70" s="64"/>
      <c r="AK70" s="64"/>
      <c r="AL70" s="65"/>
      <c r="AM70" s="65"/>
      <c r="AN70" s="65"/>
      <c r="AO70" s="65"/>
      <c r="AP70" s="66">
        <f>SUM(E70:AO70)</f>
        <v>0</v>
      </c>
    </row>
    <row r="71" ht="16" customHeight="1" spans="1:42" x14ac:dyDescent="0.25">
      <c r="A71" s="67" t="s">
        <v>167</v>
      </c>
      <c r="B71" s="41" t="s">
        <v>157</v>
      </c>
      <c r="C71" s="41" t="s">
        <v>150</v>
      </c>
      <c r="D71" s="41" t="s">
        <v>149</v>
      </c>
      <c r="E71" s="59"/>
      <c r="F71" s="59"/>
      <c r="G71" s="59"/>
      <c r="H71" s="60"/>
      <c r="I71" s="60"/>
      <c r="J71" s="60"/>
      <c r="K71" s="60"/>
      <c r="L71" s="61"/>
      <c r="M71" s="61"/>
      <c r="N71" s="61"/>
      <c r="O71" s="61"/>
      <c r="P71" s="61"/>
      <c r="Q71" s="61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3"/>
      <c r="AE71" s="63"/>
      <c r="AF71" s="63"/>
      <c r="AG71" s="63"/>
      <c r="AH71" s="63"/>
      <c r="AI71" s="63"/>
      <c r="AJ71" s="64"/>
      <c r="AK71" s="64"/>
      <c r="AL71" s="65"/>
      <c r="AM71" s="65"/>
      <c r="AN71" s="65"/>
      <c r="AO71" s="65"/>
      <c r="AP71" s="66">
        <f>SUM(E71:AO71)</f>
        <v>0</v>
      </c>
    </row>
    <row r="72" ht="16" customHeight="1" spans="1:42" x14ac:dyDescent="0.25">
      <c r="A72" s="58" t="s">
        <v>168</v>
      </c>
      <c r="B72" s="37" t="s">
        <v>169</v>
      </c>
      <c r="C72" s="37" t="s">
        <v>150</v>
      </c>
      <c r="D72" s="37" t="s">
        <v>149</v>
      </c>
      <c r="E72" s="59"/>
      <c r="F72" s="59"/>
      <c r="G72" s="59"/>
      <c r="H72" s="60"/>
      <c r="I72" s="60"/>
      <c r="J72" s="60"/>
      <c r="K72" s="60"/>
      <c r="L72" s="61"/>
      <c r="M72" s="61"/>
      <c r="N72" s="61"/>
      <c r="O72" s="61"/>
      <c r="P72" s="61"/>
      <c r="Q72" s="61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3"/>
      <c r="AE72" s="63"/>
      <c r="AF72" s="63"/>
      <c r="AG72" s="63"/>
      <c r="AH72" s="63"/>
      <c r="AI72" s="63"/>
      <c r="AJ72" s="64"/>
      <c r="AK72" s="64"/>
      <c r="AL72" s="65"/>
      <c r="AM72" s="65"/>
      <c r="AN72" s="65"/>
      <c r="AO72" s="65"/>
      <c r="AP72" s="66">
        <f>SUM(E72:AO72)</f>
        <v>0</v>
      </c>
    </row>
    <row r="73" ht="16" customHeight="1" spans="1:42" x14ac:dyDescent="0.25">
      <c r="A73" s="67" t="s">
        <v>9</v>
      </c>
      <c r="B73" s="41" t="s">
        <v>9</v>
      </c>
      <c r="C73" s="41" t="s">
        <v>9</v>
      </c>
      <c r="D73" s="41" t="s">
        <v>9</v>
      </c>
      <c r="E73" s="59"/>
      <c r="F73" s="59"/>
      <c r="G73" s="59"/>
      <c r="H73" s="60"/>
      <c r="I73" s="60"/>
      <c r="J73" s="60"/>
      <c r="K73" s="60"/>
      <c r="L73" s="61"/>
      <c r="M73" s="61"/>
      <c r="N73" s="61"/>
      <c r="O73" s="61"/>
      <c r="P73" s="61"/>
      <c r="Q73" s="61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3"/>
      <c r="AE73" s="63"/>
      <c r="AF73" s="63"/>
      <c r="AG73" s="63"/>
      <c r="AH73" s="63"/>
      <c r="AI73" s="63"/>
      <c r="AJ73" s="64"/>
      <c r="AK73" s="64"/>
      <c r="AL73" s="65"/>
      <c r="AM73" s="65"/>
      <c r="AN73" s="65"/>
      <c r="AO73" s="65"/>
      <c r="AP73" s="66">
        <f>SUM(E73:AO73)</f>
        <v>0</v>
      </c>
    </row>
    <row r="74" ht="16" customHeight="1" spans="1:42" x14ac:dyDescent="0.25">
      <c r="A74" s="58" t="s">
        <v>9</v>
      </c>
      <c r="B74" s="37" t="s">
        <v>9</v>
      </c>
      <c r="C74" s="37" t="s">
        <v>9</v>
      </c>
      <c r="D74" s="37" t="s">
        <v>9</v>
      </c>
      <c r="E74" s="59"/>
      <c r="F74" s="59"/>
      <c r="G74" s="59"/>
      <c r="H74" s="60"/>
      <c r="I74" s="60"/>
      <c r="J74" s="60"/>
      <c r="K74" s="60"/>
      <c r="L74" s="61"/>
      <c r="M74" s="61"/>
      <c r="N74" s="61"/>
      <c r="O74" s="61"/>
      <c r="P74" s="61"/>
      <c r="Q74" s="61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3"/>
      <c r="AE74" s="63"/>
      <c r="AF74" s="63"/>
      <c r="AG74" s="63"/>
      <c r="AH74" s="63"/>
      <c r="AI74" s="63"/>
      <c r="AJ74" s="64"/>
      <c r="AK74" s="64"/>
      <c r="AL74" s="65"/>
      <c r="AM74" s="65"/>
      <c r="AN74" s="65"/>
      <c r="AO74" s="65"/>
      <c r="AP74" s="66">
        <f>SUM(E74:AO74)</f>
        <v>0</v>
      </c>
    </row>
    <row r="75" ht="16" customHeight="1" spans="1:42" x14ac:dyDescent="0.25">
      <c r="A75" s="67" t="s">
        <v>9</v>
      </c>
      <c r="B75" s="41" t="s">
        <v>9</v>
      </c>
      <c r="C75" s="41" t="s">
        <v>9</v>
      </c>
      <c r="D75" s="41" t="s">
        <v>9</v>
      </c>
      <c r="E75" s="59"/>
      <c r="F75" s="59"/>
      <c r="G75" s="59"/>
      <c r="H75" s="60"/>
      <c r="I75" s="60"/>
      <c r="J75" s="60"/>
      <c r="K75" s="60"/>
      <c r="L75" s="61"/>
      <c r="M75" s="61"/>
      <c r="N75" s="61"/>
      <c r="O75" s="61"/>
      <c r="P75" s="61"/>
      <c r="Q75" s="61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3"/>
      <c r="AE75" s="63"/>
      <c r="AF75" s="63"/>
      <c r="AG75" s="63"/>
      <c r="AH75" s="63"/>
      <c r="AI75" s="63"/>
      <c r="AJ75" s="64"/>
      <c r="AK75" s="64"/>
      <c r="AL75" s="65"/>
      <c r="AM75" s="65"/>
      <c r="AN75" s="65"/>
      <c r="AO75" s="65"/>
      <c r="AP75" s="66">
        <f>SUM(E75:AO75)</f>
        <v>0</v>
      </c>
    </row>
    <row r="76" ht="16" customHeight="1" spans="1:42" x14ac:dyDescent="0.25">
      <c r="A76" s="58" t="s">
        <v>9</v>
      </c>
      <c r="B76" s="37" t="s">
        <v>9</v>
      </c>
      <c r="C76" s="37" t="s">
        <v>9</v>
      </c>
      <c r="D76" s="37" t="s">
        <v>9</v>
      </c>
      <c r="E76" s="59"/>
      <c r="F76" s="59"/>
      <c r="G76" s="59"/>
      <c r="H76" s="60"/>
      <c r="I76" s="60"/>
      <c r="J76" s="60"/>
      <c r="K76" s="60"/>
      <c r="L76" s="61"/>
      <c r="M76" s="61"/>
      <c r="N76" s="61"/>
      <c r="O76" s="61"/>
      <c r="P76" s="61"/>
      <c r="Q76" s="61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3"/>
      <c r="AE76" s="63"/>
      <c r="AF76" s="63"/>
      <c r="AG76" s="63"/>
      <c r="AH76" s="63"/>
      <c r="AI76" s="63"/>
      <c r="AJ76" s="64"/>
      <c r="AK76" s="64"/>
      <c r="AL76" s="65"/>
      <c r="AM76" s="65"/>
      <c r="AN76" s="65"/>
      <c r="AO76" s="65"/>
      <c r="AP76" s="66">
        <f>SUM(E76:AO76)</f>
        <v>0</v>
      </c>
    </row>
    <row r="77" ht="16" customHeight="1" spans="1:42" x14ac:dyDescent="0.25">
      <c r="A77" s="67" t="s">
        <v>9</v>
      </c>
      <c r="B77" s="41" t="s">
        <v>9</v>
      </c>
      <c r="C77" s="41" t="s">
        <v>9</v>
      </c>
      <c r="D77" s="41" t="s">
        <v>9</v>
      </c>
      <c r="E77" s="59"/>
      <c r="F77" s="59"/>
      <c r="G77" s="59"/>
      <c r="H77" s="60"/>
      <c r="I77" s="60"/>
      <c r="J77" s="60"/>
      <c r="K77" s="60"/>
      <c r="L77" s="61"/>
      <c r="M77" s="61"/>
      <c r="N77" s="61"/>
      <c r="O77" s="61"/>
      <c r="P77" s="61"/>
      <c r="Q77" s="61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3"/>
      <c r="AE77" s="63"/>
      <c r="AF77" s="63"/>
      <c r="AG77" s="63"/>
      <c r="AH77" s="63"/>
      <c r="AI77" s="63"/>
      <c r="AJ77" s="64"/>
      <c r="AK77" s="64"/>
      <c r="AL77" s="65"/>
      <c r="AM77" s="65"/>
      <c r="AN77" s="65"/>
      <c r="AO77" s="65"/>
      <c r="AP77" s="66">
        <f>SUM(E77:AO77)</f>
        <v>0</v>
      </c>
    </row>
    <row r="78" ht="18" customHeight="1" spans="1:42" x14ac:dyDescent="0.25">
      <c r="A78" s="26" t="s">
        <v>170</v>
      </c>
      <c r="B78" s="26"/>
      <c r="C78" s="26"/>
      <c r="D78" s="26"/>
      <c r="E78" s="68">
        <f>SUM(E58:E77)</f>
        <v>0</v>
      </c>
      <c r="F78" s="68">
        <f>SUM(F58:F77)</f>
        <v>0</v>
      </c>
      <c r="G78" s="68">
        <f>SUM(G58:G77)</f>
        <v>0</v>
      </c>
      <c r="H78" s="68">
        <f>SUM(H58:H77)</f>
        <v>0</v>
      </c>
      <c r="I78" s="68">
        <f>SUM(I58:I77)</f>
        <v>0</v>
      </c>
      <c r="J78" s="68">
        <f>SUM(J58:J77)</f>
        <v>0</v>
      </c>
      <c r="K78" s="68">
        <f>SUM(K58:K77)</f>
        <v>0</v>
      </c>
      <c r="L78" s="68">
        <f>SUM(L58:L77)</f>
        <v>0</v>
      </c>
      <c r="M78" s="68">
        <f>SUM(M58:M77)</f>
        <v>0</v>
      </c>
      <c r="N78" s="68">
        <f>SUM(N58:N77)</f>
        <v>0</v>
      </c>
      <c r="O78" s="68">
        <f>SUM(O58:O77)</f>
        <v>0</v>
      </c>
      <c r="P78" s="68">
        <f>SUM(P58:P77)</f>
        <v>0</v>
      </c>
      <c r="Q78" s="68">
        <f>SUM(Q58:Q77)</f>
        <v>0</v>
      </c>
      <c r="R78" s="68">
        <f>SUM(R58:R77)</f>
        <v>0</v>
      </c>
      <c r="S78" s="68">
        <f>SUM(S58:S77)</f>
        <v>0</v>
      </c>
      <c r="T78" s="68">
        <f>SUM(T58:T77)</f>
        <v>0</v>
      </c>
      <c r="U78" s="68">
        <f>SUM(U58:U77)</f>
        <v>0</v>
      </c>
      <c r="V78" s="68">
        <f>SUM(V58:V77)</f>
        <v>0</v>
      </c>
      <c r="W78" s="68">
        <f>SUM(W58:W77)</f>
        <v>0</v>
      </c>
      <c r="X78" s="68">
        <f>SUM(X58:X77)</f>
        <v>0</v>
      </c>
      <c r="Y78" s="68">
        <f>SUM(Y58:Y77)</f>
        <v>0</v>
      </c>
      <c r="Z78" s="68">
        <f>SUM(Z58:Z77)</f>
        <v>0</v>
      </c>
      <c r="AA78" s="68">
        <f>SUM(AA58:AA77)</f>
        <v>0</v>
      </c>
      <c r="AB78" s="68">
        <f>SUM(AB58:AB77)</f>
        <v>0</v>
      </c>
      <c r="AC78" s="68">
        <f>SUM(AC58:AC77)</f>
        <v>0</v>
      </c>
      <c r="AD78" s="68">
        <f>SUM(AD58:AD77)</f>
        <v>0</v>
      </c>
      <c r="AE78" s="68">
        <f>SUM(AE58:AE77)</f>
        <v>0</v>
      </c>
      <c r="AF78" s="68">
        <f>SUM(AF58:AF77)</f>
        <v>0</v>
      </c>
      <c r="AG78" s="68">
        <f>SUM(AG58:AG77)</f>
        <v>0</v>
      </c>
      <c r="AH78" s="68">
        <f>SUM(AH58:AH77)</f>
        <v>0</v>
      </c>
      <c r="AI78" s="68">
        <f>SUM(AI58:AI77)</f>
        <v>0</v>
      </c>
      <c r="AJ78" s="68">
        <f>SUM(AJ58:AJ77)</f>
        <v>0</v>
      </c>
      <c r="AK78" s="68">
        <f>SUM(AK58:AK77)</f>
        <v>0</v>
      </c>
      <c r="AL78" s="68">
        <f>SUM(AL58:AL77)</f>
        <v>0</v>
      </c>
      <c r="AM78" s="68">
        <f>SUM(AM58:AM77)</f>
        <v>0</v>
      </c>
      <c r="AN78" s="68">
        <f>SUM(AN58:AN77)</f>
        <v>0</v>
      </c>
      <c r="AO78" s="68">
        <f>SUM(AO58:AO77)</f>
        <v>0</v>
      </c>
      <c r="AP78" s="69">
        <f>SUM(AP58:AP77)</f>
        <v>0</v>
      </c>
    </row>
  </sheetData>
  <mergeCells count="20">
    <mergeCell ref="A1:AN1"/>
    <mergeCell ref="A2:C2"/>
    <mergeCell ref="D2:F2"/>
    <mergeCell ref="G2:J2"/>
    <mergeCell ref="K2:P2"/>
    <mergeCell ref="Q2:AB2"/>
    <mergeCell ref="AC2:AH2"/>
    <mergeCell ref="AI2:AJ2"/>
    <mergeCell ref="AK2:AN2"/>
    <mergeCell ref="A3:C3"/>
    <mergeCell ref="A4:C4"/>
    <mergeCell ref="A6:A12"/>
    <mergeCell ref="A13:A19"/>
    <mergeCell ref="A20:A26"/>
    <mergeCell ref="A27:A33"/>
    <mergeCell ref="A34:A40"/>
    <mergeCell ref="A41:A47"/>
    <mergeCell ref="A48:A54"/>
    <mergeCell ref="A56:AO56"/>
    <mergeCell ref="A78:D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14" customWidth="1"/>
    <col min="4" max="4" width="10" customWidth="1"/>
    <col min="5" max="5" width="14" customWidth="1"/>
    <col min="6" max="7" width="10" customWidth="1"/>
  </cols>
  <sheetData>
    <row r="1" ht="26" customHeight="1" spans="1:7" x14ac:dyDescent="0.25">
      <c r="A1" s="1" t="s">
        <v>171</v>
      </c>
      <c r="B1" s="1"/>
      <c r="C1" s="1"/>
      <c r="D1" s="1"/>
      <c r="E1" s="1"/>
      <c r="F1" s="1"/>
      <c r="G1" s="1"/>
    </row>
    <row r="2" ht="18" customHeight="1" spans="1:7" x14ac:dyDescent="0.25">
      <c r="A2" s="70" t="s">
        <v>172</v>
      </c>
      <c r="B2" s="70"/>
      <c r="C2" s="70"/>
      <c r="D2" s="70"/>
      <c r="E2" s="70"/>
      <c r="F2" s="70"/>
      <c r="G2" s="70"/>
    </row>
    <row r="3" ht="20" customHeight="1" spans="1:7" x14ac:dyDescent="0.25">
      <c r="A3" s="26" t="s">
        <v>173</v>
      </c>
      <c r="B3" s="26" t="s">
        <v>139</v>
      </c>
      <c r="C3" s="26" t="s">
        <v>140</v>
      </c>
      <c r="D3" s="26" t="s">
        <v>141</v>
      </c>
      <c r="E3" s="26" t="s">
        <v>142</v>
      </c>
      <c r="F3" s="26" t="s">
        <v>174</v>
      </c>
      <c r="G3" s="26" t="s">
        <v>143</v>
      </c>
    </row>
    <row r="4" ht="6" customHeight="1" spans="1:7" x14ac:dyDescent="0.25">
      <c r="A4" s="54"/>
      <c r="B4" s="54"/>
      <c r="C4" s="54"/>
      <c r="D4" s="54"/>
      <c r="E4" s="54"/>
      <c r="F4" s="54"/>
      <c r="G4" s="54"/>
    </row>
    <row r="5" ht="16" customHeight="1" spans="1:7" x14ac:dyDescent="0.25">
      <c r="A5" s="71">
        <v>1</v>
      </c>
      <c r="B5" s="58" t="s">
        <v>144</v>
      </c>
      <c r="C5" s="37" t="s">
        <v>145</v>
      </c>
      <c r="D5" s="37" t="s">
        <v>146</v>
      </c>
      <c r="E5" s="37" t="s">
        <v>147</v>
      </c>
      <c r="F5" s="72">
        <f>SUM('Project Plan'!E58:AO58)</f>
        <v>0</v>
      </c>
      <c r="G5" s="66">
        <f>SUM(F5:F5)</f>
        <v>0</v>
      </c>
    </row>
    <row r="6" ht="16" customHeight="1" spans="1:7" x14ac:dyDescent="0.25">
      <c r="A6" s="73">
        <v>2</v>
      </c>
      <c r="B6" s="67" t="s">
        <v>148</v>
      </c>
      <c r="C6" s="41" t="s">
        <v>145</v>
      </c>
      <c r="D6" s="41" t="s">
        <v>146</v>
      </c>
      <c r="E6" s="41" t="s">
        <v>149</v>
      </c>
      <c r="F6" s="74">
        <f>SUM('Project Plan'!E59:AO59)</f>
        <v>0</v>
      </c>
      <c r="G6" s="66">
        <f>SUM(F6:F6)</f>
        <v>0</v>
      </c>
    </row>
    <row r="7" ht="16" customHeight="1" spans="1:7" x14ac:dyDescent="0.25">
      <c r="A7" s="71">
        <v>3</v>
      </c>
      <c r="B7" s="58" t="s">
        <v>148</v>
      </c>
      <c r="C7" s="37" t="s">
        <v>145</v>
      </c>
      <c r="D7" s="37" t="s">
        <v>150</v>
      </c>
      <c r="E7" s="37" t="s">
        <v>149</v>
      </c>
      <c r="F7" s="72">
        <f>SUM('Project Plan'!E60:AO60)</f>
        <v>0</v>
      </c>
      <c r="G7" s="66">
        <f>SUM(F7:F7)</f>
        <v>0</v>
      </c>
    </row>
    <row r="8" ht="16" customHeight="1" spans="1:7" x14ac:dyDescent="0.25">
      <c r="A8" s="73">
        <v>4</v>
      </c>
      <c r="B8" s="67" t="s">
        <v>148</v>
      </c>
      <c r="C8" s="41" t="s">
        <v>145</v>
      </c>
      <c r="D8" s="41" t="s">
        <v>150</v>
      </c>
      <c r="E8" s="41" t="s">
        <v>151</v>
      </c>
      <c r="F8" s="74">
        <f>SUM('Project Plan'!E61:AO61)</f>
        <v>0</v>
      </c>
      <c r="G8" s="66">
        <f>SUM(F8:F8)</f>
        <v>0</v>
      </c>
    </row>
    <row r="9" ht="16" customHeight="1" spans="1:7" x14ac:dyDescent="0.25">
      <c r="A9" s="71">
        <v>5</v>
      </c>
      <c r="B9" s="58" t="s">
        <v>152</v>
      </c>
      <c r="C9" s="37" t="s">
        <v>153</v>
      </c>
      <c r="D9" s="37" t="s">
        <v>150</v>
      </c>
      <c r="E9" s="37" t="s">
        <v>149</v>
      </c>
      <c r="F9" s="72">
        <f>SUM('Project Plan'!E62:AO62)</f>
        <v>0</v>
      </c>
      <c r="G9" s="66">
        <f>SUM(F9:F9)</f>
        <v>0</v>
      </c>
    </row>
    <row r="10" ht="16" customHeight="1" spans="1:7" x14ac:dyDescent="0.25">
      <c r="A10" s="73">
        <v>6</v>
      </c>
      <c r="B10" s="67" t="s">
        <v>154</v>
      </c>
      <c r="C10" s="41" t="s">
        <v>153</v>
      </c>
      <c r="D10" s="41" t="s">
        <v>150</v>
      </c>
      <c r="E10" s="41" t="s">
        <v>151</v>
      </c>
      <c r="F10" s="74">
        <f>SUM('Project Plan'!E63:AO63)</f>
        <v>0</v>
      </c>
      <c r="G10" s="66">
        <f>SUM(F10:F10)</f>
        <v>0</v>
      </c>
    </row>
    <row r="11" ht="16" customHeight="1" spans="1:7" x14ac:dyDescent="0.25">
      <c r="A11" s="71">
        <v>7</v>
      </c>
      <c r="B11" s="58" t="s">
        <v>155</v>
      </c>
      <c r="C11" s="37" t="s">
        <v>153</v>
      </c>
      <c r="D11" s="37" t="s">
        <v>150</v>
      </c>
      <c r="E11" s="37" t="s">
        <v>149</v>
      </c>
      <c r="F11" s="72">
        <f>SUM('Project Plan'!E64:AO64)</f>
        <v>0</v>
      </c>
      <c r="G11" s="66">
        <f>SUM(F11:F11)</f>
        <v>0</v>
      </c>
    </row>
    <row r="12" ht="16" customHeight="1" spans="1:7" x14ac:dyDescent="0.25">
      <c r="A12" s="73">
        <v>8</v>
      </c>
      <c r="B12" s="67" t="s">
        <v>156</v>
      </c>
      <c r="C12" s="41" t="s">
        <v>157</v>
      </c>
      <c r="D12" s="41" t="s">
        <v>150</v>
      </c>
      <c r="E12" s="41" t="s">
        <v>149</v>
      </c>
      <c r="F12" s="74">
        <f>SUM('Project Plan'!E65:AO65)</f>
        <v>0</v>
      </c>
      <c r="G12" s="66">
        <f>SUM(F12:F12)</f>
        <v>0</v>
      </c>
    </row>
    <row r="13" ht="16" customHeight="1" spans="1:7" x14ac:dyDescent="0.25">
      <c r="A13" s="71">
        <v>9</v>
      </c>
      <c r="B13" s="58" t="s">
        <v>158</v>
      </c>
      <c r="C13" s="37" t="s">
        <v>153</v>
      </c>
      <c r="D13" s="37" t="s">
        <v>146</v>
      </c>
      <c r="E13" s="37" t="s">
        <v>149</v>
      </c>
      <c r="F13" s="72">
        <f>SUM('Project Plan'!E66:AO66)</f>
        <v>0</v>
      </c>
      <c r="G13" s="66">
        <f>SUM(F13:F13)</f>
        <v>0</v>
      </c>
    </row>
    <row r="14" ht="16" customHeight="1" spans="1:7" x14ac:dyDescent="0.25">
      <c r="A14" s="73">
        <v>10</v>
      </c>
      <c r="B14" s="67" t="s">
        <v>159</v>
      </c>
      <c r="C14" s="41" t="s">
        <v>160</v>
      </c>
      <c r="D14" s="41" t="s">
        <v>146</v>
      </c>
      <c r="E14" s="41" t="s">
        <v>161</v>
      </c>
      <c r="F14" s="74">
        <f>SUM('Project Plan'!E67:AO67)</f>
        <v>0</v>
      </c>
      <c r="G14" s="66">
        <f>SUM(F14:F14)</f>
        <v>0</v>
      </c>
    </row>
    <row r="15" ht="16" customHeight="1" spans="1:7" x14ac:dyDescent="0.25">
      <c r="A15" s="71">
        <v>11</v>
      </c>
      <c r="B15" s="58" t="s">
        <v>162</v>
      </c>
      <c r="C15" s="37" t="s">
        <v>160</v>
      </c>
      <c r="D15" s="37" t="s">
        <v>146</v>
      </c>
      <c r="E15" s="37" t="s">
        <v>163</v>
      </c>
      <c r="F15" s="72">
        <f>SUM('Project Plan'!E68:AO68)</f>
        <v>0</v>
      </c>
      <c r="G15" s="66">
        <f>SUM(F15:F15)</f>
        <v>0</v>
      </c>
    </row>
    <row r="16" ht="16" customHeight="1" spans="1:7" x14ac:dyDescent="0.25">
      <c r="A16" s="73">
        <v>12</v>
      </c>
      <c r="B16" s="67" t="s">
        <v>164</v>
      </c>
      <c r="C16" s="41" t="s">
        <v>160</v>
      </c>
      <c r="D16" s="41" t="s">
        <v>146</v>
      </c>
      <c r="E16" s="41" t="s">
        <v>149</v>
      </c>
      <c r="F16" s="74">
        <f>SUM('Project Plan'!E69:AO69)</f>
        <v>0</v>
      </c>
      <c r="G16" s="66">
        <f>SUM(F16:F16)</f>
        <v>0</v>
      </c>
    </row>
    <row r="17" ht="16" customHeight="1" spans="1:7" x14ac:dyDescent="0.25">
      <c r="A17" s="71">
        <v>13</v>
      </c>
      <c r="B17" s="58" t="s">
        <v>165</v>
      </c>
      <c r="C17" s="37" t="s">
        <v>166</v>
      </c>
      <c r="D17" s="37" t="s">
        <v>146</v>
      </c>
      <c r="E17" s="37" t="s">
        <v>149</v>
      </c>
      <c r="F17" s="72">
        <f>SUM('Project Plan'!E70:AO70)</f>
        <v>0</v>
      </c>
      <c r="G17" s="66">
        <f>SUM(F17:F17)</f>
        <v>0</v>
      </c>
    </row>
    <row r="18" ht="16" customHeight="1" spans="1:7" x14ac:dyDescent="0.25">
      <c r="A18" s="73">
        <v>14</v>
      </c>
      <c r="B18" s="67" t="s">
        <v>167</v>
      </c>
      <c r="C18" s="41" t="s">
        <v>157</v>
      </c>
      <c r="D18" s="41" t="s">
        <v>150</v>
      </c>
      <c r="E18" s="41" t="s">
        <v>149</v>
      </c>
      <c r="F18" s="74">
        <f>SUM('Project Plan'!E71:AO71)</f>
        <v>0</v>
      </c>
      <c r="G18" s="66">
        <f>SUM(F18:F18)</f>
        <v>0</v>
      </c>
    </row>
    <row r="19" ht="16" customHeight="1" spans="1:7" x14ac:dyDescent="0.25">
      <c r="A19" s="71">
        <v>15</v>
      </c>
      <c r="B19" s="58" t="s">
        <v>168</v>
      </c>
      <c r="C19" s="37" t="s">
        <v>169</v>
      </c>
      <c r="D19" s="37" t="s">
        <v>150</v>
      </c>
      <c r="E19" s="37" t="s">
        <v>149</v>
      </c>
      <c r="F19" s="72">
        <f>SUM('Project Plan'!E72:AO72)</f>
        <v>0</v>
      </c>
      <c r="G19" s="66">
        <f>SUM(F19:F19)</f>
        <v>0</v>
      </c>
    </row>
    <row r="20" ht="16" customHeight="1" spans="1:7" x14ac:dyDescent="0.25">
      <c r="A20" s="73">
        <v>16</v>
      </c>
      <c r="B20" s="67" t="s">
        <v>9</v>
      </c>
      <c r="C20" s="41" t="s">
        <v>9</v>
      </c>
      <c r="D20" s="41" t="s">
        <v>9</v>
      </c>
      <c r="E20" s="41" t="s">
        <v>9</v>
      </c>
      <c r="F20" s="74">
        <f>SUM('Project Plan'!E73:AO73)</f>
        <v>0</v>
      </c>
      <c r="G20" s="66">
        <f>SUM(F20:F20)</f>
        <v>0</v>
      </c>
    </row>
    <row r="21" ht="16" customHeight="1" spans="1:7" x14ac:dyDescent="0.25">
      <c r="A21" s="71">
        <v>17</v>
      </c>
      <c r="B21" s="58" t="s">
        <v>9</v>
      </c>
      <c r="C21" s="37" t="s">
        <v>9</v>
      </c>
      <c r="D21" s="37" t="s">
        <v>9</v>
      </c>
      <c r="E21" s="37" t="s">
        <v>9</v>
      </c>
      <c r="F21" s="72">
        <f>SUM('Project Plan'!E74:AO74)</f>
        <v>0</v>
      </c>
      <c r="G21" s="66">
        <f>SUM(F21:F21)</f>
        <v>0</v>
      </c>
    </row>
    <row r="22" ht="16" customHeight="1" spans="1:7" x14ac:dyDescent="0.25">
      <c r="A22" s="73">
        <v>18</v>
      </c>
      <c r="B22" s="67" t="s">
        <v>9</v>
      </c>
      <c r="C22" s="41" t="s">
        <v>9</v>
      </c>
      <c r="D22" s="41" t="s">
        <v>9</v>
      </c>
      <c r="E22" s="41" t="s">
        <v>9</v>
      </c>
      <c r="F22" s="74">
        <f>SUM('Project Plan'!E75:AO75)</f>
        <v>0</v>
      </c>
      <c r="G22" s="66">
        <f>SUM(F22:F22)</f>
        <v>0</v>
      </c>
    </row>
    <row r="23" ht="16" customHeight="1" spans="1:7" x14ac:dyDescent="0.25">
      <c r="A23" s="71">
        <v>19</v>
      </c>
      <c r="B23" s="58" t="s">
        <v>9</v>
      </c>
      <c r="C23" s="37" t="s">
        <v>9</v>
      </c>
      <c r="D23" s="37" t="s">
        <v>9</v>
      </c>
      <c r="E23" s="37" t="s">
        <v>9</v>
      </c>
      <c r="F23" s="72">
        <f>SUM('Project Plan'!E76:AO76)</f>
        <v>0</v>
      </c>
      <c r="G23" s="66">
        <f>SUM(F23:F23)</f>
        <v>0</v>
      </c>
    </row>
    <row r="24" ht="16" customHeight="1" spans="1:7" x14ac:dyDescent="0.25">
      <c r="A24" s="73">
        <v>20</v>
      </c>
      <c r="B24" s="67" t="s">
        <v>9</v>
      </c>
      <c r="C24" s="41" t="s">
        <v>9</v>
      </c>
      <c r="D24" s="41" t="s">
        <v>9</v>
      </c>
      <c r="E24" s="41" t="s">
        <v>9</v>
      </c>
      <c r="F24" s="74">
        <f>SUM('Project Plan'!E77:AO77)</f>
        <v>0</v>
      </c>
      <c r="G24" s="66">
        <f>SUM(F24:F24)</f>
        <v>0</v>
      </c>
    </row>
    <row r="25" ht="18" customHeight="1" spans="1:7" x14ac:dyDescent="0.25">
      <c r="A25" s="26" t="s">
        <v>175</v>
      </c>
      <c r="B25" s="26"/>
      <c r="C25" s="26"/>
      <c r="D25" s="26"/>
      <c r="E25" s="26"/>
      <c r="F25" s="75">
        <f>SUM(F5:F24)</f>
        <v>0</v>
      </c>
      <c r="G25" s="69">
        <f>SUM(G5:G24)</f>
        <v>0</v>
      </c>
    </row>
    <row r="27" ht="18" customHeight="1" spans="1:7" x14ac:dyDescent="0.25">
      <c r="A27" s="76" t="s">
        <v>176</v>
      </c>
      <c r="B27" s="76"/>
      <c r="C27" s="76"/>
      <c r="D27" s="76"/>
      <c r="E27" s="76"/>
      <c r="F27" s="76"/>
      <c r="G27" s="76"/>
    </row>
    <row r="28" ht="16" customHeight="1" spans="1:4" x14ac:dyDescent="0.25">
      <c r="A28" s="77" t="s">
        <v>142</v>
      </c>
      <c r="B28" s="77" t="s">
        <v>140</v>
      </c>
      <c r="C28" s="77" t="s">
        <v>174</v>
      </c>
      <c r="D28" s="77" t="s">
        <v>143</v>
      </c>
    </row>
    <row r="29" ht="15" customHeight="1" spans="1:4" x14ac:dyDescent="0.25">
      <c r="A29" s="78" t="s">
        <v>151</v>
      </c>
      <c r="B29" s="79" t="s">
        <v>177</v>
      </c>
      <c r="C29" s="74">
        <f>SUMIF(E5:E24,"Jr",F5:F24)</f>
        <v>0</v>
      </c>
      <c r="D29" s="80">
        <f>SUM(C29:C29)</f>
        <v>0</v>
      </c>
    </row>
    <row r="30" ht="15" customHeight="1" spans="1:4" x14ac:dyDescent="0.25">
      <c r="A30" s="81" t="s">
        <v>149</v>
      </c>
      <c r="B30" s="82" t="s">
        <v>178</v>
      </c>
      <c r="C30" s="72">
        <f>SUMIF(E5:E24,"Sr",F5:F24)</f>
        <v>0</v>
      </c>
      <c r="D30" s="83">
        <f>SUM(C30:C30)</f>
        <v>0</v>
      </c>
    </row>
    <row r="31" ht="15" customHeight="1" spans="1:4" x14ac:dyDescent="0.25">
      <c r="A31" s="78" t="s">
        <v>147</v>
      </c>
      <c r="B31" s="79" t="s">
        <v>144</v>
      </c>
      <c r="C31" s="74">
        <f>SUMIF(E5:E24,"Sol. Architect",F5:F24)</f>
        <v>0</v>
      </c>
      <c r="D31" s="80">
        <f>SUM(C31:C31)</f>
        <v>0</v>
      </c>
    </row>
    <row r="32" ht="15" customHeight="1" spans="1:4" x14ac:dyDescent="0.25">
      <c r="A32" s="81" t="s">
        <v>161</v>
      </c>
      <c r="B32" s="82" t="s">
        <v>159</v>
      </c>
      <c r="C32" s="72">
        <f>SUMIF(E5:E24,"PM",F5:F24)</f>
        <v>0</v>
      </c>
      <c r="D32" s="83">
        <f>SUM(C32:C32)</f>
        <v>0</v>
      </c>
    </row>
    <row r="33" ht="15" customHeight="1" spans="1:4" x14ac:dyDescent="0.25">
      <c r="A33" s="78" t="s">
        <v>163</v>
      </c>
      <c r="B33" s="79" t="s">
        <v>162</v>
      </c>
      <c r="C33" s="74">
        <f>SUMIF(E5:E24,"SDM",F5:F24)</f>
        <v>0</v>
      </c>
      <c r="D33" s="80">
        <f>SUM(C33:C33)</f>
        <v>0</v>
      </c>
    </row>
    <row r="35" ht="18" customHeight="1" spans="1:7" x14ac:dyDescent="0.25">
      <c r="A35" s="76" t="s">
        <v>179</v>
      </c>
      <c r="B35" s="76"/>
      <c r="C35" s="76"/>
      <c r="D35" s="76"/>
      <c r="E35" s="76"/>
      <c r="F35" s="76"/>
      <c r="G35" s="76"/>
    </row>
    <row r="36" ht="16" customHeight="1" spans="1:3" x14ac:dyDescent="0.25">
      <c r="A36" s="77" t="s">
        <v>180</v>
      </c>
      <c r="B36" s="77" t="s">
        <v>174</v>
      </c>
      <c r="C36" s="77" t="s">
        <v>143</v>
      </c>
    </row>
    <row r="37" ht="15" customHeight="1" spans="1:3" x14ac:dyDescent="0.25">
      <c r="A37" s="78" t="s">
        <v>145</v>
      </c>
      <c r="B37" s="74">
        <f>SUMIF(C5:C24,"Functional",F5:F24)</f>
        <v>0</v>
      </c>
      <c r="C37" s="80">
        <f>SUM(B37:B37)</f>
        <v>0</v>
      </c>
    </row>
    <row r="38" ht="15" customHeight="1" spans="1:3" x14ac:dyDescent="0.25">
      <c r="A38" s="81" t="s">
        <v>153</v>
      </c>
      <c r="B38" s="72">
        <f>SUMIF(C5:C24,"Technical",F5:F24)</f>
        <v>0</v>
      </c>
      <c r="C38" s="83">
        <f>SUM(B38:B38)</f>
        <v>0</v>
      </c>
    </row>
    <row r="39" ht="15" customHeight="1" spans="1:3" x14ac:dyDescent="0.25">
      <c r="A39" s="78" t="s">
        <v>160</v>
      </c>
      <c r="B39" s="74">
        <f>SUMIF(C5:C24,"Governance",F5:F24)</f>
        <v>0</v>
      </c>
      <c r="C39" s="80">
        <f>SUM(B39:B39)</f>
        <v>0</v>
      </c>
    </row>
    <row r="40" ht="15" customHeight="1" spans="1:3" x14ac:dyDescent="0.25">
      <c r="A40" s="81" t="s">
        <v>166</v>
      </c>
      <c r="B40" s="72">
        <f>SUMIF(C5:C24,"Quality",F5:F24)</f>
        <v>0</v>
      </c>
      <c r="C40" s="83">
        <f>SUM(B40:B40)</f>
        <v>0</v>
      </c>
    </row>
    <row r="41" ht="15" customHeight="1" spans="1:3" x14ac:dyDescent="0.25">
      <c r="A41" s="78" t="s">
        <v>157</v>
      </c>
      <c r="B41" s="74">
        <f>SUMIF(C5:C24,"Platform",F5:F24)</f>
        <v>0</v>
      </c>
      <c r="C41" s="80">
        <f>SUM(B41:B41)</f>
        <v>0</v>
      </c>
    </row>
    <row r="42" ht="15" customHeight="1" spans="1:3" x14ac:dyDescent="0.25">
      <c r="A42" s="81" t="s">
        <v>169</v>
      </c>
      <c r="B42" s="72">
        <f>SUMIF(C5:C24,"AI",F5:F24)</f>
        <v>0</v>
      </c>
      <c r="C42" s="83">
        <f>SUM(B42:B42)</f>
        <v>0</v>
      </c>
    </row>
  </sheetData>
  <mergeCells count="5">
    <mergeCell ref="A1:G1"/>
    <mergeCell ref="A2:G2"/>
    <mergeCell ref="A25:E25"/>
    <mergeCell ref="A27:G27"/>
    <mergeCell ref="A35:G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Plan</vt:lpstr>
      <vt:lpstr>Resource Pivot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 Michimap</dc:creator>
  <dc:title/>
  <dc:subject/>
  <dc:description/>
  <cp:keywords/>
  <cp:category/>
  <cp:lastModifiedBy>Unknown</cp:lastModifiedBy>
  <dcterms:created xsi:type="dcterms:W3CDTF">2026-03-22T02:39:14Z</dcterms:created>
  <dcterms:modified xsi:type="dcterms:W3CDTF">2026-03-22T02:39:14Z</dcterms:modified>
</cp:coreProperties>
</file>