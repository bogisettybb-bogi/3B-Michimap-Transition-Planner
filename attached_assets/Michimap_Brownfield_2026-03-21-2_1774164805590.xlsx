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Plan" state="visible" r:id="rId4"/>
    <sheet sheetId="2" name="Effort Estimation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<sst xmlns="http://schemas.openxmlformats.org/spreadsheetml/2006/main" count="309" uniqueCount="173">
  <si>
    <t>3B Michimap — SAP S/4HANA Brownfield Implementation Plan</t>
  </si>
  <si>
    <t>Start Date: 21 Mar 2026 | Total Duration: 24 weeks</t>
  </si>
  <si>
    <t>Phase</t>
  </si>
  <si>
    <t>Activity</t>
  </si>
  <si>
    <t>Responsible</t>
  </si>
  <si>
    <t>Discover</t>
  </si>
  <si>
    <t>Prepare</t>
  </si>
  <si>
    <t>Explore</t>
  </si>
  <si>
    <t>Realize - Develop</t>
  </si>
  <si>
    <t>Realize - UAT</t>
  </si>
  <si>
    <t>Deploy</t>
  </si>
  <si>
    <t>Run</t>
  </si>
  <si>
    <t>Week #</t>
  </si>
  <si>
    <t xml:space="preserve">W1
21 Mar</t>
  </si>
  <si>
    <t xml:space="preserve">W2
28 Mar</t>
  </si>
  <si>
    <t xml:space="preserve">W3
04 Apr</t>
  </si>
  <si>
    <t xml:space="preserve">W4
11 Apr</t>
  </si>
  <si>
    <t xml:space="preserve">W5
18 Apr</t>
  </si>
  <si>
    <t xml:space="preserve">W6
25 Apr</t>
  </si>
  <si>
    <t xml:space="preserve">W7
02 May</t>
  </si>
  <si>
    <t xml:space="preserve">W8
09 May</t>
  </si>
  <si>
    <t xml:space="preserve">W9
16 May</t>
  </si>
  <si>
    <t xml:space="preserve">W10
23 May</t>
  </si>
  <si>
    <t xml:space="preserve">W11
30 May</t>
  </si>
  <si>
    <t xml:space="preserve">W12
06 Jun</t>
  </si>
  <si>
    <t xml:space="preserve">W13
13 Jun</t>
  </si>
  <si>
    <t xml:space="preserve">W14
20 Jun</t>
  </si>
  <si>
    <t xml:space="preserve">W15
27 Jun</t>
  </si>
  <si>
    <t xml:space="preserve">W16
04 Jul</t>
  </si>
  <si>
    <t xml:space="preserve">W17
11 Jul</t>
  </si>
  <si>
    <t xml:space="preserve">W18
18 Jul</t>
  </si>
  <si>
    <t xml:space="preserve">W19
25 Jul</t>
  </si>
  <si>
    <t xml:space="preserve">W20
01 Aug</t>
  </si>
  <si>
    <t xml:space="preserve">W21
08 Aug</t>
  </si>
  <si>
    <t xml:space="preserve">W22
15 Aug</t>
  </si>
  <si>
    <t xml:space="preserve">W23
22 Aug</t>
  </si>
  <si>
    <t xml:space="preserve">W24
29 Aug</t>
  </si>
  <si>
    <t>Run SAP Readiness Check 2.0 and review results (Simplification Items, Add-ons, Business Functions, Fiori Apps, Custom Code, Sizing)</t>
  </si>
  <si>
    <t>Project Manager, Technical Consultant, Basis Administrator, Functional Consultant</t>
  </si>
  <si>
    <t>Execute SAP Transformation Navigator assessment and define target architecture (S/4HANA edition, deployment, FES embedded vs hub)</t>
  </si>
  <si>
    <t>Project Manager, Technical Consultant, Infrastructure Engineer, Customer Business Owner</t>
  </si>
  <si>
    <t>Perform Custom Code analysis with ABAP Test Cockpit (ATC) incl. S/4HANA checks and baseline remediation approach</t>
  </si>
  <si>
    <t>Technical Consultant, Functional Consultant</t>
  </si>
  <si>
    <t>High-level process impact assessment using Simplification Item Catalog and business impact log</t>
  </si>
  <si>
    <t>Functional Consultant, Customer Business Owner, Project Manager</t>
  </si>
  <si>
    <t>Initial system landscape and downtime strategy assessment (DMO, ZDO options, SUM/DMO approach selection)</t>
  </si>
  <si>
    <t>Basis Administrator, Technical Consultant, Infrastructure Engineer, Project Manager</t>
  </si>
  <si>
    <t>Create project charter and initial project plan in SAP Cloud ALM (scope, milestones, governance, Q-Gates)</t>
  </si>
  <si>
    <t>Project Manager, Customer Business Owner</t>
  </si>
  <si>
    <t>Set up SAP Cloud ALM for Implementation: project creation, team assignments, task plan import, governance setup</t>
  </si>
  <si>
    <t>Project Manager, Technical Consultant</t>
  </si>
  <si>
    <t>Define system landscape and transport strategy (DEV/QAS/PRD, ChaRM/CTS, retrofit approach for conversion)</t>
  </si>
  <si>
    <t>Project Manager, Basis Administrator, Technical Consultant</t>
  </si>
  <si>
    <t>Provision S/4HANA sandbox (copy/refresh from ECC) and prepare conversion toolchain prerequisites (SUM/DMO, SP levels)</t>
  </si>
  <si>
    <t>Basis Administrator, Infrastructure Engineer, Technical Consultant</t>
  </si>
  <si>
    <t>Set up SAP Fiori infrastructure and initial launchpad concept (roles, catalogs, groups/spaces/pages)</t>
  </si>
  <si>
    <t>Security Consultant, Basis Administrator, Technical Consultant</t>
  </si>
  <si>
    <t>Establish Test Management approach in SAP Cloud ALM (test strategy, test types, defect workflow, reporting)</t>
  </si>
  <si>
    <t>Project Manager, Functional Consultant, Technical Consultant</t>
  </si>
  <si>
    <t>Define cutover strategy and high-level conversion runbook (mock conversions, dress rehearsal plan, freeze windows)</t>
  </si>
  <si>
    <t>Project Manager, Basis Administrator, Functional Consultant</t>
  </si>
  <si>
    <t>Security and authorization concept baseline (SU24 review approach, SoD concept, emergency access, IAG plan if applicable)</t>
  </si>
  <si>
    <t>Security Consultant, Project Manager, Customer Business Owner</t>
  </si>
  <si>
    <t>Interface inventory and integration approach confirmation (IDoc/RFC/PI/PO/CPI, connectivity, certificates)</t>
  </si>
  <si>
    <t>Technical Consultant, Infrastructure Engineer, Functional Consultant</t>
  </si>
  <si>
    <t>Perform System Conversion: run SUM/DMO in Sandbox incl. Pre-checks, SI checks, and baseline remediation log</t>
  </si>
  <si>
    <t>Basis Administrator, Technical Consultant, Infrastructure Engineer</t>
  </si>
  <si>
    <t>Execute Simplification Item checks (SI-Check) and resolve mandatory items for relevant LoBs (Finance, Logistics, HCM if in scope)</t>
  </si>
  <si>
    <t>Functional Consultant, Technical Consultant, Basis Administrator</t>
  </si>
  <si>
    <t>Finance conversion assessment: review prerequisites for New GL, Asset Accounting, Material Ledger, BP approach and CVI impacts</t>
  </si>
  <si>
    <t>Functional Consultant, Technical Consultant, Customer Business Owner</t>
  </si>
  <si>
    <t>CVI and Business Partner approach workshop and migration readiness (number ranges, roles, mapping, synchronization strategy)</t>
  </si>
  <si>
    <t>Fit-to-Standard workshop: Finance (Record-to-Report) focusing on S/4HANA differences and required configuration adjustments</t>
  </si>
  <si>
    <t>Fit-to-Standard workshop: Procurement (Source-to-Pay) including business partner, output management, and invoice processing changes</t>
  </si>
  <si>
    <t>Fit-to-Standard workshop: Sales (Order-to-Cash) including output management, pricing impacts, and credit management considerations</t>
  </si>
  <si>
    <t>Custom code remediation planning: classify findings (mandatory/optional), create backlog and assign owners (ATC results)</t>
  </si>
  <si>
    <t>Technical Consultant, Functional Consultant, Project Manager</t>
  </si>
  <si>
    <t>Integration impact analysis and interface adaptation backlog (IDoc segments, APIs, RFC, ALE, output management)</t>
  </si>
  <si>
    <t>Technical Consultant, Functional Consultant, Infrastructure Engineer</t>
  </si>
  <si>
    <t>Define testing scope and create initial end-to-end test cases in SAP Cloud ALM (E2E, regression, conversion validation)</t>
  </si>
  <si>
    <t>Functional Consultant, Project Manager, Technical Consultant</t>
  </si>
  <si>
    <t>Execute System Conversion: run SUM/DMO in Development system (DEV) and stabilize post-conversion technical layer</t>
  </si>
  <si>
    <t>Perform SPDD/SPAU and SPAU_ENH adjustments and transport results following retrofit/transport strategy</t>
  </si>
  <si>
    <t>Technical Consultant, Basis Administrator</t>
  </si>
  <si>
    <t>Implement mandatory Simplification Item remediation (e.g., credit management, output management, data model changes)</t>
  </si>
  <si>
    <t>Functional Consultant, Technical Consultant</t>
  </si>
  <si>
    <t>Custom code remediation execution (ATC findings) including performance optimization for HANA and CDS adaptations</t>
  </si>
  <si>
    <t>Configure and run CVI/Business Partner synchronization in DEV and validate BP master data completeness</t>
  </si>
  <si>
    <t>Functional Consultant, Technical Consultant, Security Consultant</t>
  </si>
  <si>
    <t>Fiori enablement: activate relevant OData services, configure launchpad content (catalogs/spaces/pages) and roles</t>
  </si>
  <si>
    <t>Security Consultant, Basis Administrator, Functional Consultant</t>
  </si>
  <si>
    <t>Set up and validate Output Management (BRF+ / Adobe Forms) where applicable and adapt legacy outputs</t>
  </si>
  <si>
    <t>Interface adaptations and connectivity setup (certificates, endpoints) and execute interface unit tests</t>
  </si>
  <si>
    <t>Set up Application Operations in SAP Cloud ALM (monitoring, alerting, job monitoring, integration monitoring) for converted systems</t>
  </si>
  <si>
    <t>Technical Consultant, Basis Administrator, Project Manager</t>
  </si>
  <si>
    <t>Prepare and execute SIT cycle in QAS (convert QAS, run E2E scenarios, defect triage in Cloud ALM)</t>
  </si>
  <si>
    <t>Functional Consultant, Technical Consultant, Project Manager, Basis Administrator</t>
  </si>
  <si>
    <t>Convert QAS/Pre-Prod (if separate) using SUM/DMO and perform post-conversion validation (technical smoke test)</t>
  </si>
  <si>
    <t>Execute UAT preparation: test plans, test packages, user provisioning, and UAT entry criteria sign-off in Cloud ALM</t>
  </si>
  <si>
    <t>Project Manager, Functional Consultant, Security Consultant, Customer Business Owner</t>
  </si>
  <si>
    <t>Run UAT Cycle 1 (end-to-end business process tests) and manage defects in SAP Cloud ALM (triage, prioritization, retest)</t>
  </si>
  <si>
    <t>Customer Business Owner, Functional Consultant, Technical Consultant, Project Manager</t>
  </si>
  <si>
    <t>Run UAT Cycle 2 / Regression testing focusing on critical processes and integration touchpoints</t>
  </si>
  <si>
    <t>Customer Business Owner, Functional Consultant, Technical Consultant</t>
  </si>
  <si>
    <t>Perform security role validation and SoD checks for UAT users (Fiori catalogs, critical authorizations, emergency access)</t>
  </si>
  <si>
    <t>Security Consultant, Functional Consultant, Customer Business Owner</t>
  </si>
  <si>
    <t>Execute performance and batch job validation (critical background jobs, spool, interfaces, MRP, settlement) in QAS</t>
  </si>
  <si>
    <t>Basis Administrator, Technical Consultant, Functional Consultant</t>
  </si>
  <si>
    <t>Finalize cutover plan and detailed runbook incl. downtime timeline, checkpoints, and rollback strategy</t>
  </si>
  <si>
    <t>Project Manager, Basis Administrator, Functional Consultant, Technical Consultant</t>
  </si>
  <si>
    <t>End-user training delivery for key changes (Fiori navigation, BP, output changes) and training material sign-off</t>
  </si>
  <si>
    <t>Execute Production system conversion with SUM/DMO (including downtime execution and checkpoint reporting)</t>
  </si>
  <si>
    <t>Perform post-go-live technical validation (system health checks, SLT/replication if any, jobs, interfaces, printing, monitoring setup)</t>
  </si>
  <si>
    <t>Execute business validation (smoke tests) and go/no-go decision meeting</t>
  </si>
  <si>
    <t>Customer Business Owner, Functional Consultant, Project Manager</t>
  </si>
  <si>
    <t>Production cutover execution: finalize transports, user/role provisioning, job scheduling, interface switch-over, communications</t>
  </si>
  <si>
    <t>Project Manager, Basis Administrator, Security Consultant, Functional Consultant, Technical Consultant</t>
  </si>
  <si>
    <t>Hypercare setup in SAP Cloud ALM (issue categories, war room cadence, KPI dashboard, escalation paths)</t>
  </si>
  <si>
    <t>Confirm application operations monitoring and alert thresholds in SAP Cloud ALM for Production (jobs, interfaces, dumps, performance)</t>
  </si>
  <si>
    <t>Hypercare execution: manage incidents/defects in SAP Cloud ALM (triage, assignment, resolution, SLA tracking)</t>
  </si>
  <si>
    <t>Project Manager, Functional Consultant, Technical Consultant, Basis Administrator</t>
  </si>
  <si>
    <t>Stabilization of business processes: daily operational checks and reconciliation for Finance and Logistics (period-end readiness)</t>
  </si>
  <si>
    <t>Functional Consultant, Customer Business Owner</t>
  </si>
  <si>
    <t>Post-go-live security review: role fixes, SU24 adjustments, firefighter usage review, and audit evidence collection</t>
  </si>
  <si>
    <t>Security Consultant, Functional Consultant</t>
  </si>
  <si>
    <t>Performance monitoring and tuning (SQL monitor/ST05 as needed, HANA memory/CPU trends, top dialogs) with corrective actions</t>
  </si>
  <si>
    <t>Interface and batch job stabilization (failed IDocs, job runtimes, printing, output management issues) and preventive measures</t>
  </si>
  <si>
    <t>Technical Consultant, Basis Administrator, Functional Consultant</t>
  </si>
  <si>
    <t>Operational handover to AMS/IT operations: finalize runbooks, monitoring ownership, and support procedures</t>
  </si>
  <si>
    <t>Project Manager, Basis Administrator, Technical Consultant, Customer Business Owner</t>
  </si>
  <si>
    <t>Project closure in SAP Cloud ALM: lessons learned, final status report, and backlog transition to continuous improvement</t>
  </si>
  <si>
    <t>Project Manager, Customer Business Owner, Functional Consultant, Technical Consultant</t>
  </si>
  <si>
    <t>3B Michimap — Effort Estimation | Brownfield | Start: 21 Mar 2026</t>
  </si>
  <si>
    <t>Fill in effort (days) per phase per role. Rate, Total Days and Total Cost calculate automatically.</t>
  </si>
  <si>
    <t>#</t>
  </si>
  <si>
    <t>Role</t>
  </si>
  <si>
    <t>Onsite / Offshore</t>
  </si>
  <si>
    <t>Level</t>
  </si>
  <si>
    <t>Rate (USD/day)</t>
  </si>
  <si>
    <t xml:space="preserve">Discover
(2w)</t>
  </si>
  <si>
    <t xml:space="preserve">Prepare
(3w)</t>
  </si>
  <si>
    <t xml:space="preserve">Explore
(4w)</t>
  </si>
  <si>
    <t xml:space="preserve">Realize - Develop
(6w)</t>
  </si>
  <si>
    <t xml:space="preserve">Realize - UAT
(3w)</t>
  </si>
  <si>
    <t xml:space="preserve">Deploy
(2w)</t>
  </si>
  <si>
    <t xml:space="preserve">Run
(4w)</t>
  </si>
  <si>
    <t>Total Days</t>
  </si>
  <si>
    <t>Total Cost (USD)</t>
  </si>
  <si>
    <t>Project Manager</t>
  </si>
  <si>
    <t>Onsite</t>
  </si>
  <si>
    <t>Senior</t>
  </si>
  <si>
    <t>Programme Manager</t>
  </si>
  <si>
    <t>Principal Architect</t>
  </si>
  <si>
    <t>Solution Architect</t>
  </si>
  <si>
    <t>Functional Consultant – Finance</t>
  </si>
  <si>
    <t>Offshore</t>
  </si>
  <si>
    <t>Junior</t>
  </si>
  <si>
    <t>Functional Consultant – MM/SD</t>
  </si>
  <si>
    <t>Functional Consultant – PP/QM</t>
  </si>
  <si>
    <t>Technical Consultant – ABAP</t>
  </si>
  <si>
    <t>Technical Consultant – Integration</t>
  </si>
  <si>
    <t>Basis Administrator</t>
  </si>
  <si>
    <t>Security Consultant</t>
  </si>
  <si>
    <t>Data Migration Specialist</t>
  </si>
  <si>
    <t>Test Manager</t>
  </si>
  <si>
    <t>Change Management Lead</t>
  </si>
  <si>
    <t>Customer Business Owner</t>
  </si>
  <si>
    <t>Infrastructure Engineer</t>
  </si>
  <si>
    <t>3B Michimap — Effort Summary by Level | Brownfield</t>
  </si>
  <si>
    <t>Automatically summarised from Effort Estimation sheet. Fill in effort days there first.</t>
  </si>
  <si>
    <t>GRAND TOTAL</t>
  </si>
  <si>
    <t>Onsite vs. Offshore Breakdown</t>
  </si>
  <si>
    <t>(see Effort Estimation sheet for per-phase detail)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</si>
</sst>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6B7280"/>
      <sz val="10"/>
      <name val="Calibri"/>
    </font>
    <font>
      <b/>
      <color rgb="FFFFFFFF"/>
      <sz val="9"/>
      <name val="Calibri"/>
    </font>
    <font>
      <b/>
      <color rgb="FF000000"/>
      <sz val="9"/>
      <name val="Calibri"/>
    </font>
    <font>
      <b/>
      <color rgb="FF374151"/>
      <sz val="9"/>
      <name val="Calibri"/>
    </font>
    <font>
      <color rgb="FF374151"/>
      <sz val="8"/>
      <name val="Calibri"/>
    </font>
    <font>
      <sz val="9"/>
      <name val="Calibri"/>
    </font>
    <font>
      <color rgb="FF6B7280"/>
      <sz val="9"/>
      <name val="Calibri"/>
    </font>
    <font>
      <b/>
      <color rgb="FFFFFFFF"/>
      <sz val="13"/>
      <name val="Calibri"/>
    </font>
    <font>
      <i/>
      <color rgb="FF6B7280"/>
      <sz val="9"/>
      <name val="Calibri"/>
    </font>
    <font>
      <b/>
      <color rgb="FFFFFFFF"/>
      <sz val="8"/>
      <name val="Calibri"/>
    </font>
    <font>
      <b/>
      <color rgb="FF000000"/>
      <sz val="8"/>
      <name val="Calibri"/>
    </font>
    <font>
      <color rgb="FF9CA3AF"/>
      <sz val="9"/>
      <name val="Calibri"/>
    </font>
    <font>
      <b/>
      <sz val="9"/>
      <name val="Calibri"/>
    </font>
    <font>
      <b/>
      <sz val="10"/>
      <name val="Calibri"/>
    </font>
    <font>
      <b/>
      <color rgb="FF064E3B"/>
      <sz val="9"/>
      <name val="Calibri"/>
    </font>
    <font>
      <b/>
      <color rgb="FFFFFFFF"/>
      <sz val="10"/>
      <name val="Calibri"/>
    </font>
    <font>
      <b/>
      <color rgb="FF1F2937"/>
      <sz val="10"/>
      <name val="Calibri"/>
    </font>
    <font>
      <i/>
      <color rgb="FF9CA3AF"/>
      <sz val="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11182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374151"/>
      </patternFill>
    </fill>
    <fill>
      <patternFill patternType="solid">
        <fgColor rgb="FFFFFBF0"/>
      </patternFill>
    </fill>
    <fill>
      <patternFill patternType="solid">
        <fgColor rgb="FFF0F4FF"/>
      </patternFill>
    </fill>
    <fill>
      <patternFill patternType="solid">
        <fgColor rgb="FFF0FDF4"/>
      </patternFill>
    </fill>
    <fill>
      <patternFill patternType="solid">
        <fgColor rgb="FFFFF0F4"/>
      </patternFill>
    </fill>
  </fills>
  <borders count="5">
    <border>
      <left/>
      <right/>
      <top/>
      <bottom/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hair">
        <color rgb="FFD1D5DB"/>
      </left>
      <right/>
      <top/>
      <bottom style="thin">
        <color rgb="FFD1D5DB"/>
      </bottom>
      <diagonal/>
    </border>
    <border>
      <left style="hair">
        <color rgb="FFE5E7EB"/>
      </left>
      <right/>
      <top/>
      <bottom style="hair">
        <color rgb="FFE5E7EB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0" fillId="5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3" fillId="6" borderId="1" xfId="0" applyFont="1" applyFill="1" applyBorder="1" applyAlignment="1">
      <alignment vertical="center"/>
    </xf>
    <xf numFmtId="0" fontId="0" fillId="6" borderId="4" xfId="0" applyFill="1" applyBorder="1"/>
    <xf numFmtId="0" fontId="3" fillId="7" borderId="1" xfId="0" applyFont="1" applyFill="1" applyBorder="1" applyAlignment="1">
      <alignment vertical="center"/>
    </xf>
    <xf numFmtId="0" fontId="0" fillId="7" borderId="4" xfId="0" applyFill="1" applyBorder="1"/>
    <xf numFmtId="0" fontId="3" fillId="8" borderId="1" xfId="0" applyFont="1" applyFill="1" applyBorder="1" applyAlignment="1">
      <alignment vertical="center"/>
    </xf>
    <xf numFmtId="0" fontId="0" fillId="8" borderId="4" xfId="0" applyFill="1" applyBorder="1"/>
    <xf numFmtId="0" fontId="3" fillId="9" borderId="1" xfId="0" applyFont="1" applyFill="1" applyBorder="1" applyAlignment="1">
      <alignment vertical="center"/>
    </xf>
    <xf numFmtId="0" fontId="0" fillId="9" borderId="4" xfId="0" applyFill="1" applyBorder="1"/>
    <xf numFmtId="0" fontId="3" fillId="10" borderId="1" xfId="0" applyFont="1" applyFill="1" applyBorder="1" applyAlignment="1">
      <alignment vertical="center"/>
    </xf>
    <xf numFmtId="0" fontId="0" fillId="10" borderId="4" xfId="0" applyFill="1" applyBorder="1"/>
    <xf numFmtId="0" fontId="3" fillId="11" borderId="1" xfId="0" applyFont="1" applyFill="1" applyBorder="1" applyAlignment="1">
      <alignment vertical="center"/>
    </xf>
    <xf numFmtId="0" fontId="0" fillId="11" borderId="4" xfId="0" applyFill="1" applyBorder="1"/>
    <xf numFmtId="0" fontId="9" fillId="2" borderId="0" xfId="0" applyFont="1" applyFill="1" applyAlignment="1">
      <alignment horizontal="left" vertical="center" indent="1"/>
    </xf>
    <xf numFmtId="0" fontId="10" fillId="3" borderId="0" xfId="0" applyFont="1" applyFill="1"/>
    <xf numFmtId="0" fontId="0" fillId="2" borderId="1" xfId="0" applyFill="1" applyBorder="1"/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 vertical="center"/>
    </xf>
    <xf numFmtId="4" fontId="7" fillId="14" borderId="1" xfId="0" applyNumberFormat="1" applyFont="1" applyFill="1" applyBorder="1" applyAlignment="1">
      <alignment horizontal="right" vertical="center"/>
    </xf>
    <xf numFmtId="3" fontId="15" fillId="16" borderId="1" xfId="0" applyNumberFormat="1" applyFont="1" applyFill="1" applyBorder="1" applyAlignment="1">
      <alignment horizontal="center" vertical="center"/>
    </xf>
    <xf numFmtId="3" fontId="14" fillId="17" borderId="1" xfId="0" applyNumberFormat="1" applyFont="1" applyFill="1" applyBorder="1" applyAlignment="1">
      <alignment horizontal="center" vertical="center"/>
    </xf>
    <xf numFmtId="164" fontId="16" fillId="18" borderId="1" xfId="0" applyNumberFormat="1" applyFont="1" applyFill="1" applyBorder="1" applyAlignment="1">
      <alignment horizontal="right" vertical="center"/>
    </xf>
    <xf numFmtId="0" fontId="13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/>
    </xf>
    <xf numFmtId="4" fontId="7" fillId="13" borderId="1" xfId="0" applyNumberFormat="1" applyFont="1" applyFill="1" applyBorder="1" applyAlignment="1">
      <alignment horizontal="right" vertical="center"/>
    </xf>
    <xf numFmtId="4" fontId="3" fillId="15" borderId="1" xfId="0" applyNumberFormat="1" applyFont="1" applyFill="1" applyBorder="1" applyAlignment="1">
      <alignment horizontal="right" vertical="center"/>
    </xf>
    <xf numFmtId="3" fontId="3" fillId="15" borderId="1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right" vertical="center"/>
    </xf>
    <xf numFmtId="0" fontId="14" fillId="14" borderId="1" xfId="0" applyFont="1" applyFill="1" applyBorder="1" applyAlignment="1">
      <alignment vertical="center" indent="1"/>
    </xf>
    <xf numFmtId="3" fontId="7" fillId="14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vertical="center" indent="1"/>
    </xf>
    <xf numFmtId="3" fontId="7" fillId="13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indent="1"/>
    </xf>
    <xf numFmtId="0" fontId="18" fillId="0" borderId="0" xfId="0" applyFont="1"/>
    <xf numFmtId="0" fontId="14" fillId="17" borderId="1" xfId="0" applyFont="1" applyFill="1" applyBorder="1" applyAlignment="1">
      <alignment vertical="center" indent="1"/>
    </xf>
    <xf numFmtId="0" fontId="19" fillId="0" borderId="1" xfId="0" applyFont="1" applyBorder="1" applyAlignment="1">
      <alignment horizontal="center" vertical="center"/>
    </xf>
    <xf numFmtId="164" fontId="14" fillId="17" borderId="1" xfId="0" applyNumberFormat="1" applyFont="1" applyFill="1" applyBorder="1" applyAlignment="1">
      <alignment horizontal="right" vertical="center"/>
    </xf>
    <xf numFmtId="0" fontId="14" fillId="19" borderId="1" xfId="0" applyFont="1" applyFill="1" applyBorder="1" applyAlignment="1">
      <alignment vertical="center" indent="1"/>
    </xf>
    <xf numFmtId="3" fontId="14" fillId="19" borderId="1" xfId="0" applyNumberFormat="1" applyFont="1" applyFill="1" applyBorder="1" applyAlignment="1">
      <alignment horizontal="center" vertical="center"/>
    </xf>
    <xf numFmtId="164" fontId="14" fillId="19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AA59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5" customWidth="1"/>
    <col min="3" max="3" width="38" customWidth="1"/>
    <col min="4" max="27" width="8" customWidth="1"/>
  </cols>
  <sheetData>
    <row r="1" ht="28" customHeight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0" customHeight="1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" customHeight="1" spans="1:27" x14ac:dyDescent="0.25">
      <c r="A3" s="3" t="s">
        <v>2</v>
      </c>
      <c r="B3" s="3" t="s">
        <v>3</v>
      </c>
      <c r="C3" s="3" t="s">
        <v>4</v>
      </c>
      <c r="D3" s="4" t="s">
        <v>5</v>
      </c>
      <c r="E3" s="4"/>
      <c r="F3" s="5" t="s">
        <v>6</v>
      </c>
      <c r="G3" s="5"/>
      <c r="H3" s="5"/>
      <c r="I3" s="6" t="s">
        <v>7</v>
      </c>
      <c r="J3" s="6"/>
      <c r="K3" s="6"/>
      <c r="L3" s="6"/>
      <c r="M3" s="7" t="s">
        <v>8</v>
      </c>
      <c r="N3" s="7"/>
      <c r="O3" s="7"/>
      <c r="P3" s="7"/>
      <c r="Q3" s="7"/>
      <c r="R3" s="7"/>
      <c r="S3" s="8" t="s">
        <v>9</v>
      </c>
      <c r="T3" s="8"/>
      <c r="U3" s="8"/>
      <c r="V3" s="9" t="s">
        <v>10</v>
      </c>
      <c r="W3" s="9"/>
      <c r="X3" s="10" t="s">
        <v>11</v>
      </c>
      <c r="Y3" s="10"/>
      <c r="Z3" s="10"/>
      <c r="AA3" s="10"/>
    </row>
    <row r="4" ht="32" customHeight="1" spans="1:27" x14ac:dyDescent="0.25">
      <c r="A4" s="11" t="s">
        <v>12</v>
      </c>
      <c r="B4" s="11"/>
      <c r="C4" s="11"/>
      <c r="D4" s="12" t="s">
        <v>13</v>
      </c>
      <c r="E4" s="12" t="s">
        <v>14</v>
      </c>
      <c r="F4" s="12" t="s">
        <v>15</v>
      </c>
      <c r="G4" s="12" t="s">
        <v>16</v>
      </c>
      <c r="H4" s="12" t="s">
        <v>17</v>
      </c>
      <c r="I4" s="12" t="s">
        <v>18</v>
      </c>
      <c r="J4" s="12" t="s">
        <v>19</v>
      </c>
      <c r="K4" s="12" t="s">
        <v>20</v>
      </c>
      <c r="L4" s="12" t="s">
        <v>21</v>
      </c>
      <c r="M4" s="12" t="s">
        <v>22</v>
      </c>
      <c r="N4" s="12" t="s">
        <v>23</v>
      </c>
      <c r="O4" s="12" t="s">
        <v>24</v>
      </c>
      <c r="P4" s="12" t="s">
        <v>25</v>
      </c>
      <c r="Q4" s="12" t="s">
        <v>26</v>
      </c>
      <c r="R4" s="12" t="s">
        <v>27</v>
      </c>
      <c r="S4" s="12" t="s">
        <v>28</v>
      </c>
      <c r="T4" s="12" t="s">
        <v>29</v>
      </c>
      <c r="U4" s="12" t="s">
        <v>30</v>
      </c>
      <c r="V4" s="12" t="s">
        <v>31</v>
      </c>
      <c r="W4" s="12" t="s">
        <v>32</v>
      </c>
      <c r="X4" s="12" t="s">
        <v>33</v>
      </c>
      <c r="Y4" s="12" t="s">
        <v>34</v>
      </c>
      <c r="Z4" s="12" t="s">
        <v>35</v>
      </c>
      <c r="AA4" s="12" t="s">
        <v>36</v>
      </c>
    </row>
    <row r="5" ht="18" customHeight="1" spans="1:27" x14ac:dyDescent="0.25">
      <c r="A5" s="13" t="s">
        <v>5</v>
      </c>
      <c r="B5" s="14" t="s">
        <v>37</v>
      </c>
      <c r="C5" s="15" t="s">
        <v>38</v>
      </c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8" customHeight="1" spans="1:27" x14ac:dyDescent="0.25">
      <c r="A6" s="13" t="s">
        <v>5</v>
      </c>
      <c r="B6" s="14" t="s">
        <v>39</v>
      </c>
      <c r="C6" s="15" t="s">
        <v>40</v>
      </c>
      <c r="D6" s="1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8" customHeight="1" spans="1:27" x14ac:dyDescent="0.25">
      <c r="A7" s="13" t="s">
        <v>5</v>
      </c>
      <c r="B7" s="14" t="s">
        <v>41</v>
      </c>
      <c r="C7" s="15" t="s">
        <v>42</v>
      </c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8" customHeight="1" spans="1:27" x14ac:dyDescent="0.25">
      <c r="A8" s="13" t="s">
        <v>5</v>
      </c>
      <c r="B8" s="14" t="s">
        <v>43</v>
      </c>
      <c r="C8" s="15" t="s">
        <v>44</v>
      </c>
      <c r="D8" s="16"/>
      <c r="E8" s="16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18" customHeight="1" spans="1:27" x14ac:dyDescent="0.25">
      <c r="A9" s="13" t="s">
        <v>5</v>
      </c>
      <c r="B9" s="14" t="s">
        <v>45</v>
      </c>
      <c r="C9" s="15" t="s">
        <v>46</v>
      </c>
      <c r="D9" s="17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8" customHeight="1" spans="1:27" x14ac:dyDescent="0.25">
      <c r="A10" s="13" t="s">
        <v>5</v>
      </c>
      <c r="B10" s="14" t="s">
        <v>47</v>
      </c>
      <c r="C10" s="15" t="s">
        <v>48</v>
      </c>
      <c r="D10" s="18"/>
      <c r="E10" s="16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8" customHeight="1" spans="1:27" x14ac:dyDescent="0.25">
      <c r="A11" s="19" t="s">
        <v>6</v>
      </c>
      <c r="B11" s="14" t="s">
        <v>49</v>
      </c>
      <c r="C11" s="15" t="s">
        <v>50</v>
      </c>
      <c r="D11" s="17"/>
      <c r="E11" s="17"/>
      <c r="F11" s="20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8" customHeight="1" spans="1:27" x14ac:dyDescent="0.25">
      <c r="A12" s="19" t="s">
        <v>6</v>
      </c>
      <c r="B12" s="14" t="s">
        <v>51</v>
      </c>
      <c r="C12" s="15" t="s">
        <v>52</v>
      </c>
      <c r="D12" s="18"/>
      <c r="E12" s="18"/>
      <c r="F12" s="20"/>
      <c r="G12" s="2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8" customHeight="1" spans="1:27" x14ac:dyDescent="0.25">
      <c r="A13" s="19" t="s">
        <v>6</v>
      </c>
      <c r="B13" s="14" t="s">
        <v>53</v>
      </c>
      <c r="C13" s="15" t="s">
        <v>54</v>
      </c>
      <c r="D13" s="17"/>
      <c r="E13" s="17"/>
      <c r="F13" s="20"/>
      <c r="G13" s="20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8" customHeight="1" spans="1:27" x14ac:dyDescent="0.25">
      <c r="A14" s="19" t="s">
        <v>6</v>
      </c>
      <c r="B14" s="14" t="s">
        <v>55</v>
      </c>
      <c r="C14" s="15" t="s">
        <v>56</v>
      </c>
      <c r="D14" s="18"/>
      <c r="E14" s="18"/>
      <c r="F14" s="18"/>
      <c r="G14" s="20"/>
      <c r="H14" s="2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8" customHeight="1" spans="1:27" x14ac:dyDescent="0.25">
      <c r="A15" s="19" t="s">
        <v>6</v>
      </c>
      <c r="B15" s="14" t="s">
        <v>57</v>
      </c>
      <c r="C15" s="15" t="s">
        <v>58</v>
      </c>
      <c r="D15" s="17"/>
      <c r="E15" s="17"/>
      <c r="F15" s="17"/>
      <c r="G15" s="20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8" customHeight="1" spans="1:27" x14ac:dyDescent="0.25">
      <c r="A16" s="19" t="s">
        <v>6</v>
      </c>
      <c r="B16" s="14" t="s">
        <v>59</v>
      </c>
      <c r="C16" s="15" t="s">
        <v>60</v>
      </c>
      <c r="D16" s="18"/>
      <c r="E16" s="18"/>
      <c r="F16" s="18"/>
      <c r="G16" s="20"/>
      <c r="H16" s="2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8" customHeight="1" spans="1:27" x14ac:dyDescent="0.25">
      <c r="A17" s="19" t="s">
        <v>6</v>
      </c>
      <c r="B17" s="14" t="s">
        <v>61</v>
      </c>
      <c r="C17" s="15" t="s">
        <v>62</v>
      </c>
      <c r="D17" s="17"/>
      <c r="E17" s="17"/>
      <c r="F17" s="20"/>
      <c r="G17" s="20"/>
      <c r="H17" s="20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8" customHeight="1" spans="1:27" x14ac:dyDescent="0.25">
      <c r="A18" s="19" t="s">
        <v>6</v>
      </c>
      <c r="B18" s="14" t="s">
        <v>63</v>
      </c>
      <c r="C18" s="15" t="s">
        <v>64</v>
      </c>
      <c r="D18" s="18"/>
      <c r="E18" s="18"/>
      <c r="F18" s="18"/>
      <c r="G18" s="20"/>
      <c r="H18" s="2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8" customHeight="1" spans="1:27" x14ac:dyDescent="0.25">
      <c r="A19" s="21" t="s">
        <v>7</v>
      </c>
      <c r="B19" s="14" t="s">
        <v>65</v>
      </c>
      <c r="C19" s="15" t="s">
        <v>66</v>
      </c>
      <c r="D19" s="17"/>
      <c r="E19" s="17"/>
      <c r="F19" s="17"/>
      <c r="G19" s="17"/>
      <c r="H19" s="17"/>
      <c r="I19" s="22"/>
      <c r="J19" s="2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8" customHeight="1" spans="1:27" x14ac:dyDescent="0.25">
      <c r="A20" s="21" t="s">
        <v>7</v>
      </c>
      <c r="B20" s="14" t="s">
        <v>67</v>
      </c>
      <c r="C20" s="15" t="s">
        <v>68</v>
      </c>
      <c r="D20" s="18"/>
      <c r="E20" s="18"/>
      <c r="F20" s="18"/>
      <c r="G20" s="18"/>
      <c r="H20" s="18"/>
      <c r="I20" s="22"/>
      <c r="J20" s="22"/>
      <c r="K20" s="22"/>
      <c r="L20" s="2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8" customHeight="1" spans="1:27" x14ac:dyDescent="0.25">
      <c r="A21" s="21" t="s">
        <v>7</v>
      </c>
      <c r="B21" s="14" t="s">
        <v>69</v>
      </c>
      <c r="C21" s="15" t="s">
        <v>70</v>
      </c>
      <c r="D21" s="17"/>
      <c r="E21" s="17"/>
      <c r="F21" s="17"/>
      <c r="G21" s="17"/>
      <c r="H21" s="17"/>
      <c r="I21" s="17"/>
      <c r="J21" s="22"/>
      <c r="K21" s="22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8" customHeight="1" spans="1:27" x14ac:dyDescent="0.25">
      <c r="A22" s="21" t="s">
        <v>7</v>
      </c>
      <c r="B22" s="14" t="s">
        <v>71</v>
      </c>
      <c r="C22" s="15" t="s">
        <v>70</v>
      </c>
      <c r="D22" s="18"/>
      <c r="E22" s="18"/>
      <c r="F22" s="18"/>
      <c r="G22" s="18"/>
      <c r="H22" s="18"/>
      <c r="I22" s="18"/>
      <c r="J22" s="22"/>
      <c r="K22" s="22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8" customHeight="1" spans="1:27" x14ac:dyDescent="0.25">
      <c r="A23" s="21" t="s">
        <v>7</v>
      </c>
      <c r="B23" s="14" t="s">
        <v>72</v>
      </c>
      <c r="C23" s="15" t="s">
        <v>44</v>
      </c>
      <c r="D23" s="17"/>
      <c r="E23" s="17"/>
      <c r="F23" s="17"/>
      <c r="G23" s="17"/>
      <c r="H23" s="17"/>
      <c r="I23" s="22"/>
      <c r="J23" s="22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8" customHeight="1" spans="1:27" x14ac:dyDescent="0.25">
      <c r="A24" s="21" t="s">
        <v>7</v>
      </c>
      <c r="B24" s="14" t="s">
        <v>73</v>
      </c>
      <c r="C24" s="15" t="s">
        <v>44</v>
      </c>
      <c r="D24" s="18"/>
      <c r="E24" s="18"/>
      <c r="F24" s="18"/>
      <c r="G24" s="18"/>
      <c r="H24" s="18"/>
      <c r="I24" s="18"/>
      <c r="J24" s="22"/>
      <c r="K24" s="2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8" customHeight="1" spans="1:27" x14ac:dyDescent="0.25">
      <c r="A25" s="21" t="s">
        <v>7</v>
      </c>
      <c r="B25" s="14" t="s">
        <v>74</v>
      </c>
      <c r="C25" s="15" t="s">
        <v>44</v>
      </c>
      <c r="D25" s="17"/>
      <c r="E25" s="17"/>
      <c r="F25" s="17"/>
      <c r="G25" s="17"/>
      <c r="H25" s="17"/>
      <c r="I25" s="17"/>
      <c r="J25" s="22"/>
      <c r="K25" s="22"/>
      <c r="L25" s="22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8" customHeight="1" spans="1:27" x14ac:dyDescent="0.25">
      <c r="A26" s="21" t="s">
        <v>7</v>
      </c>
      <c r="B26" s="14" t="s">
        <v>75</v>
      </c>
      <c r="C26" s="15" t="s">
        <v>76</v>
      </c>
      <c r="D26" s="18"/>
      <c r="E26" s="18"/>
      <c r="F26" s="18"/>
      <c r="G26" s="18"/>
      <c r="H26" s="18"/>
      <c r="I26" s="18"/>
      <c r="J26" s="18"/>
      <c r="K26" s="22"/>
      <c r="L26" s="22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8" customHeight="1" spans="1:27" x14ac:dyDescent="0.25">
      <c r="A27" s="21" t="s">
        <v>7</v>
      </c>
      <c r="B27" s="14" t="s">
        <v>77</v>
      </c>
      <c r="C27" s="15" t="s">
        <v>78</v>
      </c>
      <c r="D27" s="17"/>
      <c r="E27" s="17"/>
      <c r="F27" s="17"/>
      <c r="G27" s="17"/>
      <c r="H27" s="17"/>
      <c r="I27" s="17"/>
      <c r="J27" s="17"/>
      <c r="K27" s="22"/>
      <c r="L27" s="22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8" customHeight="1" spans="1:27" x14ac:dyDescent="0.25">
      <c r="A28" s="21" t="s">
        <v>7</v>
      </c>
      <c r="B28" s="14" t="s">
        <v>79</v>
      </c>
      <c r="C28" s="15" t="s">
        <v>80</v>
      </c>
      <c r="D28" s="18"/>
      <c r="E28" s="18"/>
      <c r="F28" s="18"/>
      <c r="G28" s="18"/>
      <c r="H28" s="18"/>
      <c r="I28" s="18"/>
      <c r="J28" s="18"/>
      <c r="K28" s="22"/>
      <c r="L28" s="22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8" customHeight="1" spans="1:27" x14ac:dyDescent="0.25">
      <c r="A29" s="23" t="s">
        <v>8</v>
      </c>
      <c r="B29" s="14" t="s">
        <v>81</v>
      </c>
      <c r="C29" s="15" t="s">
        <v>66</v>
      </c>
      <c r="D29" s="17"/>
      <c r="E29" s="17"/>
      <c r="F29" s="17"/>
      <c r="G29" s="17"/>
      <c r="H29" s="17"/>
      <c r="I29" s="17"/>
      <c r="J29" s="17"/>
      <c r="K29" s="17"/>
      <c r="L29" s="17"/>
      <c r="M29" s="24"/>
      <c r="N29" s="24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8" customHeight="1" spans="1:27" x14ac:dyDescent="0.25">
      <c r="A30" s="23" t="s">
        <v>8</v>
      </c>
      <c r="B30" s="14" t="s">
        <v>82</v>
      </c>
      <c r="C30" s="15" t="s">
        <v>83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4"/>
      <c r="O30" s="24"/>
      <c r="P30" s="24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8" customHeight="1" spans="1:27" x14ac:dyDescent="0.25">
      <c r="A31" s="23" t="s">
        <v>8</v>
      </c>
      <c r="B31" s="14" t="s">
        <v>84</v>
      </c>
      <c r="C31" s="15" t="s">
        <v>85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4"/>
      <c r="O31" s="24"/>
      <c r="P31" s="24"/>
      <c r="Q31" s="24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8" customHeight="1" spans="1:27" x14ac:dyDescent="0.25">
      <c r="A32" s="23" t="s">
        <v>8</v>
      </c>
      <c r="B32" s="14" t="s">
        <v>86</v>
      </c>
      <c r="C32" s="15" t="s">
        <v>42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4"/>
      <c r="O32" s="24"/>
      <c r="P32" s="24"/>
      <c r="Q32" s="24"/>
      <c r="R32" s="24"/>
      <c r="S32" s="18"/>
      <c r="T32" s="18"/>
      <c r="U32" s="18"/>
      <c r="V32" s="18"/>
      <c r="W32" s="18"/>
      <c r="X32" s="18"/>
      <c r="Y32" s="18"/>
      <c r="Z32" s="18"/>
      <c r="AA32" s="18"/>
    </row>
    <row r="33" ht="18" customHeight="1" spans="1:27" x14ac:dyDescent="0.25">
      <c r="A33" s="23" t="s">
        <v>8</v>
      </c>
      <c r="B33" s="14" t="s">
        <v>87</v>
      </c>
      <c r="C33" s="15" t="s">
        <v>88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24"/>
      <c r="P33" s="24"/>
      <c r="Q33" s="24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8" customHeight="1" spans="1:27" x14ac:dyDescent="0.25">
      <c r="A34" s="23" t="s">
        <v>8</v>
      </c>
      <c r="B34" s="14" t="s">
        <v>89</v>
      </c>
      <c r="C34" s="15" t="s">
        <v>90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4"/>
      <c r="P34" s="24"/>
      <c r="Q34" s="24"/>
      <c r="R34" s="24"/>
      <c r="S34" s="18"/>
      <c r="T34" s="18"/>
      <c r="U34" s="18"/>
      <c r="V34" s="18"/>
      <c r="W34" s="18"/>
      <c r="X34" s="18"/>
      <c r="Y34" s="18"/>
      <c r="Z34" s="18"/>
      <c r="AA34" s="18"/>
    </row>
    <row r="35" ht="18" customHeight="1" spans="1:27" x14ac:dyDescent="0.25">
      <c r="A35" s="23" t="s">
        <v>8</v>
      </c>
      <c r="B35" s="14" t="s">
        <v>91</v>
      </c>
      <c r="C35" s="15" t="s">
        <v>85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24"/>
      <c r="Q35" s="24"/>
      <c r="R35" s="24"/>
      <c r="S35" s="17"/>
      <c r="T35" s="17"/>
      <c r="U35" s="17"/>
      <c r="V35" s="17"/>
      <c r="W35" s="17"/>
      <c r="X35" s="17"/>
      <c r="Y35" s="17"/>
      <c r="Z35" s="17"/>
      <c r="AA35" s="17"/>
    </row>
    <row r="36" ht="18" customHeight="1" spans="1:27" x14ac:dyDescent="0.25">
      <c r="A36" s="23" t="s">
        <v>8</v>
      </c>
      <c r="B36" s="14" t="s">
        <v>92</v>
      </c>
      <c r="C36" s="15" t="s">
        <v>64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4"/>
      <c r="P36" s="24"/>
      <c r="Q36" s="24"/>
      <c r="R36" s="24"/>
      <c r="S36" s="18"/>
      <c r="T36" s="18"/>
      <c r="U36" s="18"/>
      <c r="V36" s="18"/>
      <c r="W36" s="18"/>
      <c r="X36" s="18"/>
      <c r="Y36" s="18"/>
      <c r="Z36" s="18"/>
      <c r="AA36" s="18"/>
    </row>
    <row r="37" ht="18" customHeight="1" spans="1:27" x14ac:dyDescent="0.25">
      <c r="A37" s="23" t="s">
        <v>8</v>
      </c>
      <c r="B37" s="14" t="s">
        <v>93</v>
      </c>
      <c r="C37" s="15" t="s">
        <v>94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24"/>
      <c r="R37" s="24"/>
      <c r="S37" s="17"/>
      <c r="T37" s="17"/>
      <c r="U37" s="17"/>
      <c r="V37" s="17"/>
      <c r="W37" s="17"/>
      <c r="X37" s="17"/>
      <c r="Y37" s="17"/>
      <c r="Z37" s="17"/>
      <c r="AA37" s="17"/>
    </row>
    <row r="38" ht="18" customHeight="1" spans="1:27" x14ac:dyDescent="0.25">
      <c r="A38" s="23" t="s">
        <v>8</v>
      </c>
      <c r="B38" s="14" t="s">
        <v>95</v>
      </c>
      <c r="C38" s="15" t="s">
        <v>96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4"/>
      <c r="R38" s="24"/>
      <c r="S38" s="18"/>
      <c r="T38" s="18"/>
      <c r="U38" s="18"/>
      <c r="V38" s="18"/>
      <c r="W38" s="18"/>
      <c r="X38" s="18"/>
      <c r="Y38" s="18"/>
      <c r="Z38" s="18"/>
      <c r="AA38" s="18"/>
    </row>
    <row r="39" ht="18" customHeight="1" spans="1:27" x14ac:dyDescent="0.25">
      <c r="A39" s="25" t="s">
        <v>9</v>
      </c>
      <c r="B39" s="14" t="s">
        <v>97</v>
      </c>
      <c r="C39" s="15" t="s">
        <v>66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26"/>
      <c r="T39" s="17"/>
      <c r="U39" s="17"/>
      <c r="V39" s="17"/>
      <c r="W39" s="17"/>
      <c r="X39" s="17"/>
      <c r="Y39" s="17"/>
      <c r="Z39" s="17"/>
      <c r="AA39" s="17"/>
    </row>
    <row r="40" ht="18" customHeight="1" spans="1:27" x14ac:dyDescent="0.25">
      <c r="A40" s="25" t="s">
        <v>9</v>
      </c>
      <c r="B40" s="14" t="s">
        <v>98</v>
      </c>
      <c r="C40" s="15" t="s">
        <v>99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6"/>
      <c r="T40" s="18"/>
      <c r="U40" s="18"/>
      <c r="V40" s="18"/>
      <c r="W40" s="18"/>
      <c r="X40" s="18"/>
      <c r="Y40" s="18"/>
      <c r="Z40" s="18"/>
      <c r="AA40" s="18"/>
    </row>
    <row r="41" ht="18" customHeight="1" spans="1:27" x14ac:dyDescent="0.25">
      <c r="A41" s="25" t="s">
        <v>9</v>
      </c>
      <c r="B41" s="14" t="s">
        <v>100</v>
      </c>
      <c r="C41" s="15" t="s">
        <v>101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26"/>
      <c r="T41" s="26"/>
      <c r="U41" s="17"/>
      <c r="V41" s="17"/>
      <c r="W41" s="17"/>
      <c r="X41" s="17"/>
      <c r="Y41" s="17"/>
      <c r="Z41" s="17"/>
      <c r="AA41" s="17"/>
    </row>
    <row r="42" ht="18" customHeight="1" spans="1:27" x14ac:dyDescent="0.25">
      <c r="A42" s="25" t="s">
        <v>9</v>
      </c>
      <c r="B42" s="14" t="s">
        <v>102</v>
      </c>
      <c r="C42" s="15" t="s">
        <v>103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26"/>
      <c r="U42" s="26"/>
      <c r="V42" s="18"/>
      <c r="W42" s="18"/>
      <c r="X42" s="18"/>
      <c r="Y42" s="18"/>
      <c r="Z42" s="18"/>
      <c r="AA42" s="18"/>
    </row>
    <row r="43" ht="18" customHeight="1" spans="1:27" x14ac:dyDescent="0.25">
      <c r="A43" s="25" t="s">
        <v>9</v>
      </c>
      <c r="B43" s="14" t="s">
        <v>104</v>
      </c>
      <c r="C43" s="15" t="s">
        <v>105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6"/>
      <c r="U43" s="26"/>
      <c r="V43" s="17"/>
      <c r="W43" s="17"/>
      <c r="X43" s="17"/>
      <c r="Y43" s="17"/>
      <c r="Z43" s="17"/>
      <c r="AA43" s="17"/>
    </row>
    <row r="44" ht="18" customHeight="1" spans="1:27" x14ac:dyDescent="0.25">
      <c r="A44" s="25" t="s">
        <v>9</v>
      </c>
      <c r="B44" s="14" t="s">
        <v>106</v>
      </c>
      <c r="C44" s="15" t="s">
        <v>107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26"/>
      <c r="U44" s="26"/>
      <c r="V44" s="18"/>
      <c r="W44" s="18"/>
      <c r="X44" s="18"/>
      <c r="Y44" s="18"/>
      <c r="Z44" s="18"/>
      <c r="AA44" s="18"/>
    </row>
    <row r="45" ht="18" customHeight="1" spans="1:27" x14ac:dyDescent="0.25">
      <c r="A45" s="25" t="s">
        <v>9</v>
      </c>
      <c r="B45" s="14" t="s">
        <v>108</v>
      </c>
      <c r="C45" s="15" t="s">
        <v>109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26"/>
      <c r="T45" s="26"/>
      <c r="U45" s="26"/>
      <c r="V45" s="17"/>
      <c r="W45" s="17"/>
      <c r="X45" s="17"/>
      <c r="Y45" s="17"/>
      <c r="Z45" s="17"/>
      <c r="AA45" s="17"/>
    </row>
    <row r="46" ht="18" customHeight="1" spans="1:27" x14ac:dyDescent="0.25">
      <c r="A46" s="25" t="s">
        <v>9</v>
      </c>
      <c r="B46" s="14" t="s">
        <v>110</v>
      </c>
      <c r="C46" s="15" t="s">
        <v>44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26"/>
      <c r="U46" s="26"/>
      <c r="V46" s="18"/>
      <c r="W46" s="18"/>
      <c r="X46" s="18"/>
      <c r="Y46" s="18"/>
      <c r="Z46" s="18"/>
      <c r="AA46" s="18"/>
    </row>
    <row r="47" ht="18" customHeight="1" spans="1:27" x14ac:dyDescent="0.25">
      <c r="A47" s="27" t="s">
        <v>10</v>
      </c>
      <c r="B47" s="14" t="s">
        <v>111</v>
      </c>
      <c r="C47" s="15" t="s">
        <v>46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28"/>
      <c r="W47" s="17"/>
      <c r="X47" s="17"/>
      <c r="Y47" s="17"/>
      <c r="Z47" s="17"/>
      <c r="AA47" s="17"/>
    </row>
    <row r="48" ht="18" customHeight="1" spans="1:27" x14ac:dyDescent="0.25">
      <c r="A48" s="27" t="s">
        <v>10</v>
      </c>
      <c r="B48" s="14" t="s">
        <v>112</v>
      </c>
      <c r="C48" s="15" t="s">
        <v>66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28"/>
      <c r="W48" s="28"/>
      <c r="X48" s="18"/>
      <c r="Y48" s="18"/>
      <c r="Z48" s="18"/>
      <c r="AA48" s="18"/>
    </row>
    <row r="49" ht="18" customHeight="1" spans="1:27" x14ac:dyDescent="0.25">
      <c r="A49" s="27" t="s">
        <v>10</v>
      </c>
      <c r="B49" s="14" t="s">
        <v>113</v>
      </c>
      <c r="C49" s="15" t="s">
        <v>114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28"/>
      <c r="W49" s="17"/>
      <c r="X49" s="17"/>
      <c r="Y49" s="17"/>
      <c r="Z49" s="17"/>
      <c r="AA49" s="17"/>
    </row>
    <row r="50" ht="18" customHeight="1" spans="1:27" x14ac:dyDescent="0.25">
      <c r="A50" s="27" t="s">
        <v>10</v>
      </c>
      <c r="B50" s="14" t="s">
        <v>115</v>
      </c>
      <c r="C50" s="15" t="s">
        <v>116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28"/>
      <c r="W50" s="18"/>
      <c r="X50" s="18"/>
      <c r="Y50" s="18"/>
      <c r="Z50" s="18"/>
      <c r="AA50" s="18"/>
    </row>
    <row r="51" ht="18" customHeight="1" spans="1:27" x14ac:dyDescent="0.25">
      <c r="A51" s="27" t="s">
        <v>10</v>
      </c>
      <c r="B51" s="14" t="s">
        <v>117</v>
      </c>
      <c r="C51" s="15" t="s">
        <v>58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28"/>
      <c r="W51" s="28"/>
      <c r="X51" s="17"/>
      <c r="Y51" s="17"/>
      <c r="Z51" s="17"/>
      <c r="AA51" s="17"/>
    </row>
    <row r="52" ht="18" customHeight="1" spans="1:27" x14ac:dyDescent="0.25">
      <c r="A52" s="27" t="s">
        <v>10</v>
      </c>
      <c r="B52" s="14" t="s">
        <v>118</v>
      </c>
      <c r="C52" s="15" t="s">
        <v>94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28"/>
      <c r="X52" s="18"/>
      <c r="Y52" s="18"/>
      <c r="Z52" s="18"/>
      <c r="AA52" s="18"/>
    </row>
    <row r="53" ht="18" customHeight="1" spans="1:27" x14ac:dyDescent="0.25">
      <c r="A53" s="29" t="s">
        <v>11</v>
      </c>
      <c r="B53" s="14" t="s">
        <v>119</v>
      </c>
      <c r="C53" s="15" t="s">
        <v>120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30"/>
      <c r="Y53" s="30"/>
      <c r="Z53" s="30"/>
      <c r="AA53" s="30"/>
    </row>
    <row r="54" ht="18" customHeight="1" spans="1:27" x14ac:dyDescent="0.25">
      <c r="A54" s="29" t="s">
        <v>11</v>
      </c>
      <c r="B54" s="14" t="s">
        <v>121</v>
      </c>
      <c r="C54" s="15" t="s">
        <v>122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30"/>
      <c r="Y54" s="30"/>
      <c r="Z54" s="30"/>
      <c r="AA54" s="18"/>
    </row>
    <row r="55" ht="18" customHeight="1" spans="1:27" x14ac:dyDescent="0.25">
      <c r="A55" s="29" t="s">
        <v>11</v>
      </c>
      <c r="B55" s="14" t="s">
        <v>123</v>
      </c>
      <c r="C55" s="15" t="s">
        <v>124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30"/>
      <c r="Y55" s="30"/>
      <c r="Z55" s="30"/>
      <c r="AA55" s="30"/>
    </row>
    <row r="56" ht="18" customHeight="1" spans="1:27" x14ac:dyDescent="0.25">
      <c r="A56" s="29" t="s">
        <v>11</v>
      </c>
      <c r="B56" s="14" t="s">
        <v>125</v>
      </c>
      <c r="C56" s="15" t="s">
        <v>66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30"/>
      <c r="Z56" s="30"/>
      <c r="AA56" s="30"/>
    </row>
    <row r="57" ht="18" customHeight="1" spans="1:27" x14ac:dyDescent="0.25">
      <c r="A57" s="29" t="s">
        <v>11</v>
      </c>
      <c r="B57" s="14" t="s">
        <v>126</v>
      </c>
      <c r="C57" s="15" t="s">
        <v>127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30"/>
      <c r="Y57" s="30"/>
      <c r="Z57" s="30"/>
      <c r="AA57" s="30"/>
    </row>
    <row r="58" ht="18" customHeight="1" spans="1:27" x14ac:dyDescent="0.25">
      <c r="A58" s="29" t="s">
        <v>11</v>
      </c>
      <c r="B58" s="14" t="s">
        <v>128</v>
      </c>
      <c r="C58" s="15" t="s">
        <v>129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30"/>
      <c r="AA58" s="30"/>
    </row>
    <row r="59" ht="18" customHeight="1" spans="1:27" x14ac:dyDescent="0.25">
      <c r="A59" s="29" t="s">
        <v>11</v>
      </c>
      <c r="B59" s="14" t="s">
        <v>130</v>
      </c>
      <c r="C59" s="15" t="s">
        <v>131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30"/>
    </row>
  </sheetData>
  <mergeCells count="10">
    <mergeCell ref="A1:AA1"/>
    <mergeCell ref="A2:AA2"/>
    <mergeCell ref="D3:E3"/>
    <mergeCell ref="F3:H3"/>
    <mergeCell ref="I3:L3"/>
    <mergeCell ref="M3:R3"/>
    <mergeCell ref="S3:U3"/>
    <mergeCell ref="V3:W3"/>
    <mergeCell ref="X3:AA3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N24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36" customWidth="1"/>
    <col min="3" max="3" width="18" customWidth="1"/>
    <col min="4" max="4" width="22" customWidth="1"/>
    <col min="5" max="5" width="16" customWidth="1"/>
    <col min="6" max="13" width="14" customWidth="1"/>
    <col min="14" max="14" width="18" customWidth="1"/>
  </cols>
  <sheetData>
    <row r="1" ht="28" customHeight="1" spans="1:14" x14ac:dyDescent="0.25">
      <c r="A1" s="31" t="s">
        <v>132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ht="18" customHeight="1" spans="1:14" x14ac:dyDescent="0.25">
      <c r="A2" s="32" t="s">
        <v>133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ht="20" customHeight="1" spans="1:14" x14ac:dyDescent="0.25">
      <c r="A3" s="33"/>
      <c r="B3" s="33"/>
      <c r="C3" s="33"/>
      <c r="D3" s="33"/>
      <c r="E3" s="33"/>
      <c r="F3" s="34" t="s">
        <v>5</v>
      </c>
      <c r="G3" s="35" t="s">
        <v>6</v>
      </c>
      <c r="H3" s="36" t="s">
        <v>7</v>
      </c>
      <c r="I3" s="37" t="s">
        <v>8</v>
      </c>
      <c r="J3" s="38" t="s">
        <v>9</v>
      </c>
      <c r="K3" s="39" t="s">
        <v>10</v>
      </c>
      <c r="L3" s="40" t="s">
        <v>11</v>
      </c>
      <c r="M3" s="41"/>
      <c r="N3" s="41"/>
    </row>
    <row r="4" ht="22" customHeight="1" spans="1:14" x14ac:dyDescent="0.25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42" t="s">
        <v>139</v>
      </c>
      <c r="G4" s="43" t="s">
        <v>140</v>
      </c>
      <c r="H4" s="44" t="s">
        <v>141</v>
      </c>
      <c r="I4" s="45" t="s">
        <v>142</v>
      </c>
      <c r="J4" s="46" t="s">
        <v>143</v>
      </c>
      <c r="K4" s="47" t="s">
        <v>144</v>
      </c>
      <c r="L4" s="48" t="s">
        <v>145</v>
      </c>
      <c r="M4" s="3" t="s">
        <v>146</v>
      </c>
      <c r="N4" s="3" t="s">
        <v>147</v>
      </c>
    </row>
    <row r="5" ht="20" customHeight="1" spans="1:14" x14ac:dyDescent="0.25">
      <c r="A5" s="49">
        <v>1</v>
      </c>
      <c r="B5" s="50" t="s">
        <v>148</v>
      </c>
      <c r="C5" s="51" t="s">
        <v>149</v>
      </c>
      <c r="D5" s="51" t="s">
        <v>150</v>
      </c>
      <c r="E5" s="52">
        <v>1200</v>
      </c>
      <c r="F5" s="53"/>
      <c r="G5" s="53"/>
      <c r="H5" s="53"/>
      <c r="I5" s="53"/>
      <c r="J5" s="53"/>
      <c r="K5" s="53"/>
      <c r="L5" s="53"/>
      <c r="M5" s="54">
        <f>SUM(F5,G5,H5,I5,J5,K5,L5)</f>
        <v>0</v>
      </c>
      <c r="N5" s="55">
        <f>E5*M5</f>
        <v>0</v>
      </c>
    </row>
    <row r="6" ht="20" customHeight="1" spans="1:14" x14ac:dyDescent="0.25">
      <c r="A6" s="56">
        <v>2</v>
      </c>
      <c r="B6" s="57" t="s">
        <v>151</v>
      </c>
      <c r="C6" s="58" t="s">
        <v>149</v>
      </c>
      <c r="D6" s="58" t="s">
        <v>152</v>
      </c>
      <c r="E6" s="59">
        <v>1500</v>
      </c>
      <c r="F6" s="53"/>
      <c r="G6" s="53"/>
      <c r="H6" s="53"/>
      <c r="I6" s="53"/>
      <c r="J6" s="53"/>
      <c r="K6" s="53"/>
      <c r="L6" s="53"/>
      <c r="M6" s="54">
        <f>SUM(F6,G6,H6,I6,J6,K6,L6)</f>
        <v>0</v>
      </c>
      <c r="N6" s="55">
        <f>E6*M6</f>
        <v>0</v>
      </c>
    </row>
    <row r="7" ht="20" customHeight="1" spans="1:14" x14ac:dyDescent="0.25">
      <c r="A7" s="49">
        <v>3</v>
      </c>
      <c r="B7" s="50" t="s">
        <v>153</v>
      </c>
      <c r="C7" s="51" t="s">
        <v>149</v>
      </c>
      <c r="D7" s="51" t="s">
        <v>153</v>
      </c>
      <c r="E7" s="52">
        <v>1400</v>
      </c>
      <c r="F7" s="53"/>
      <c r="G7" s="53"/>
      <c r="H7" s="53"/>
      <c r="I7" s="53"/>
      <c r="J7" s="53"/>
      <c r="K7" s="53"/>
      <c r="L7" s="53"/>
      <c r="M7" s="54">
        <f>SUM(F7,G7,H7,I7,J7,K7,L7)</f>
        <v>0</v>
      </c>
      <c r="N7" s="55">
        <f>E7*M7</f>
        <v>0</v>
      </c>
    </row>
    <row r="8" ht="20" customHeight="1" spans="1:14" x14ac:dyDescent="0.25">
      <c r="A8" s="56">
        <v>4</v>
      </c>
      <c r="B8" s="57" t="s">
        <v>154</v>
      </c>
      <c r="C8" s="58" t="s">
        <v>155</v>
      </c>
      <c r="D8" s="58" t="s">
        <v>150</v>
      </c>
      <c r="E8" s="59">
        <v>900</v>
      </c>
      <c r="F8" s="53"/>
      <c r="G8" s="53"/>
      <c r="H8" s="53"/>
      <c r="I8" s="53"/>
      <c r="J8" s="53"/>
      <c r="K8" s="53"/>
      <c r="L8" s="53"/>
      <c r="M8" s="54">
        <f>SUM(F8,G8,H8,I8,J8,K8,L8)</f>
        <v>0</v>
      </c>
      <c r="N8" s="55">
        <f>E8*M8</f>
        <v>0</v>
      </c>
    </row>
    <row r="9" ht="20" customHeight="1" spans="1:14" x14ac:dyDescent="0.25">
      <c r="A9" s="49">
        <v>5</v>
      </c>
      <c r="B9" s="50" t="s">
        <v>154</v>
      </c>
      <c r="C9" s="51" t="s">
        <v>155</v>
      </c>
      <c r="D9" s="51" t="s">
        <v>156</v>
      </c>
      <c r="E9" s="52">
        <v>600</v>
      </c>
      <c r="F9" s="53"/>
      <c r="G9" s="53"/>
      <c r="H9" s="53"/>
      <c r="I9" s="53"/>
      <c r="J9" s="53"/>
      <c r="K9" s="53"/>
      <c r="L9" s="53"/>
      <c r="M9" s="54">
        <f>SUM(F9,G9,H9,I9,J9,K9,L9)</f>
        <v>0</v>
      </c>
      <c r="N9" s="55">
        <f>E9*M9</f>
        <v>0</v>
      </c>
    </row>
    <row r="10" ht="20" customHeight="1" spans="1:14" x14ac:dyDescent="0.25">
      <c r="A10" s="56">
        <v>6</v>
      </c>
      <c r="B10" s="57" t="s">
        <v>157</v>
      </c>
      <c r="C10" s="58" t="s">
        <v>155</v>
      </c>
      <c r="D10" s="58" t="s">
        <v>150</v>
      </c>
      <c r="E10" s="59">
        <v>900</v>
      </c>
      <c r="F10" s="53"/>
      <c r="G10" s="53"/>
      <c r="H10" s="53"/>
      <c r="I10" s="53"/>
      <c r="J10" s="53"/>
      <c r="K10" s="53"/>
      <c r="L10" s="53"/>
      <c r="M10" s="54">
        <f>SUM(F10,G10,H10,I10,J10,K10,L10)</f>
        <v>0</v>
      </c>
      <c r="N10" s="55">
        <f>E10*M10</f>
        <v>0</v>
      </c>
    </row>
    <row r="11" ht="20" customHeight="1" spans="1:14" x14ac:dyDescent="0.25">
      <c r="A11" s="49">
        <v>7</v>
      </c>
      <c r="B11" s="50" t="s">
        <v>157</v>
      </c>
      <c r="C11" s="51" t="s">
        <v>155</v>
      </c>
      <c r="D11" s="51" t="s">
        <v>156</v>
      </c>
      <c r="E11" s="52">
        <v>600</v>
      </c>
      <c r="F11" s="53"/>
      <c r="G11" s="53"/>
      <c r="H11" s="53"/>
      <c r="I11" s="53"/>
      <c r="J11" s="53"/>
      <c r="K11" s="53"/>
      <c r="L11" s="53"/>
      <c r="M11" s="54">
        <f>SUM(F11,G11,H11,I11,J11,K11,L11)</f>
        <v>0</v>
      </c>
      <c r="N11" s="55">
        <f>E11*M11</f>
        <v>0</v>
      </c>
    </row>
    <row r="12" ht="20" customHeight="1" spans="1:14" x14ac:dyDescent="0.25">
      <c r="A12" s="56">
        <v>8</v>
      </c>
      <c r="B12" s="57" t="s">
        <v>158</v>
      </c>
      <c r="C12" s="58" t="s">
        <v>155</v>
      </c>
      <c r="D12" s="58" t="s">
        <v>150</v>
      </c>
      <c r="E12" s="59">
        <v>850</v>
      </c>
      <c r="F12" s="53"/>
      <c r="G12" s="53"/>
      <c r="H12" s="53"/>
      <c r="I12" s="53"/>
      <c r="J12" s="53"/>
      <c r="K12" s="53"/>
      <c r="L12" s="53"/>
      <c r="M12" s="54">
        <f>SUM(F12,G12,H12,I12,J12,K12,L12)</f>
        <v>0</v>
      </c>
      <c r="N12" s="55">
        <f>E12*M12</f>
        <v>0</v>
      </c>
    </row>
    <row r="13" ht="20" customHeight="1" spans="1:14" x14ac:dyDescent="0.25">
      <c r="A13" s="49">
        <v>9</v>
      </c>
      <c r="B13" s="50" t="s">
        <v>159</v>
      </c>
      <c r="C13" s="51" t="s">
        <v>155</v>
      </c>
      <c r="D13" s="51" t="s">
        <v>150</v>
      </c>
      <c r="E13" s="52">
        <v>800</v>
      </c>
      <c r="F13" s="53"/>
      <c r="G13" s="53"/>
      <c r="H13" s="53"/>
      <c r="I13" s="53"/>
      <c r="J13" s="53"/>
      <c r="K13" s="53"/>
      <c r="L13" s="53"/>
      <c r="M13" s="54">
        <f>SUM(F13,G13,H13,I13,J13,K13,L13)</f>
        <v>0</v>
      </c>
      <c r="N13" s="55">
        <f>E13*M13</f>
        <v>0</v>
      </c>
    </row>
    <row r="14" ht="20" customHeight="1" spans="1:14" x14ac:dyDescent="0.25">
      <c r="A14" s="56">
        <v>10</v>
      </c>
      <c r="B14" s="57" t="s">
        <v>159</v>
      </c>
      <c r="C14" s="58" t="s">
        <v>155</v>
      </c>
      <c r="D14" s="58" t="s">
        <v>156</v>
      </c>
      <c r="E14" s="59">
        <v>550</v>
      </c>
      <c r="F14" s="53"/>
      <c r="G14" s="53"/>
      <c r="H14" s="53"/>
      <c r="I14" s="53"/>
      <c r="J14" s="53"/>
      <c r="K14" s="53"/>
      <c r="L14" s="53"/>
      <c r="M14" s="54">
        <f>SUM(F14,G14,H14,I14,J14,K14,L14)</f>
        <v>0</v>
      </c>
      <c r="N14" s="55">
        <f>E14*M14</f>
        <v>0</v>
      </c>
    </row>
    <row r="15" ht="20" customHeight="1" spans="1:14" x14ac:dyDescent="0.25">
      <c r="A15" s="49">
        <v>11</v>
      </c>
      <c r="B15" s="50" t="s">
        <v>160</v>
      </c>
      <c r="C15" s="51" t="s">
        <v>155</v>
      </c>
      <c r="D15" s="51" t="s">
        <v>150</v>
      </c>
      <c r="E15" s="52">
        <v>850</v>
      </c>
      <c r="F15" s="53"/>
      <c r="G15" s="53"/>
      <c r="H15" s="53"/>
      <c r="I15" s="53"/>
      <c r="J15" s="53"/>
      <c r="K15" s="53"/>
      <c r="L15" s="53"/>
      <c r="M15" s="54">
        <f>SUM(F15,G15,H15,I15,J15,K15,L15)</f>
        <v>0</v>
      </c>
      <c r="N15" s="55">
        <f>E15*M15</f>
        <v>0</v>
      </c>
    </row>
    <row r="16" ht="20" customHeight="1" spans="1:14" x14ac:dyDescent="0.25">
      <c r="A16" s="56">
        <v>12</v>
      </c>
      <c r="B16" s="57" t="s">
        <v>161</v>
      </c>
      <c r="C16" s="58" t="s">
        <v>155</v>
      </c>
      <c r="D16" s="58" t="s">
        <v>150</v>
      </c>
      <c r="E16" s="59">
        <v>750</v>
      </c>
      <c r="F16" s="53"/>
      <c r="G16" s="53"/>
      <c r="H16" s="53"/>
      <c r="I16" s="53"/>
      <c r="J16" s="53"/>
      <c r="K16" s="53"/>
      <c r="L16" s="53"/>
      <c r="M16" s="54">
        <f>SUM(F16,G16,H16,I16,J16,K16,L16)</f>
        <v>0</v>
      </c>
      <c r="N16" s="55">
        <f>E16*M16</f>
        <v>0</v>
      </c>
    </row>
    <row r="17" ht="20" customHeight="1" spans="1:14" x14ac:dyDescent="0.25">
      <c r="A17" s="49">
        <v>13</v>
      </c>
      <c r="B17" s="50" t="s">
        <v>162</v>
      </c>
      <c r="C17" s="51" t="s">
        <v>155</v>
      </c>
      <c r="D17" s="51" t="s">
        <v>150</v>
      </c>
      <c r="E17" s="52">
        <v>750</v>
      </c>
      <c r="F17" s="53"/>
      <c r="G17" s="53"/>
      <c r="H17" s="53"/>
      <c r="I17" s="53"/>
      <c r="J17" s="53"/>
      <c r="K17" s="53"/>
      <c r="L17" s="53"/>
      <c r="M17" s="54">
        <f>SUM(F17,G17,H17,I17,J17,K17,L17)</f>
        <v>0</v>
      </c>
      <c r="N17" s="55">
        <f>E17*M17</f>
        <v>0</v>
      </c>
    </row>
    <row r="18" ht="20" customHeight="1" spans="1:14" x14ac:dyDescent="0.25">
      <c r="A18" s="56">
        <v>14</v>
      </c>
      <c r="B18" s="57" t="s">
        <v>163</v>
      </c>
      <c r="C18" s="58" t="s">
        <v>155</v>
      </c>
      <c r="D18" s="58" t="s">
        <v>150</v>
      </c>
      <c r="E18" s="59">
        <v>800</v>
      </c>
      <c r="F18" s="53"/>
      <c r="G18" s="53"/>
      <c r="H18" s="53"/>
      <c r="I18" s="53"/>
      <c r="J18" s="53"/>
      <c r="K18" s="53"/>
      <c r="L18" s="53"/>
      <c r="M18" s="54">
        <f>SUM(F18,G18,H18,I18,J18,K18,L18)</f>
        <v>0</v>
      </c>
      <c r="N18" s="55">
        <f>E18*M18</f>
        <v>0</v>
      </c>
    </row>
    <row r="19" ht="20" customHeight="1" spans="1:14" x14ac:dyDescent="0.25">
      <c r="A19" s="49">
        <v>15</v>
      </c>
      <c r="B19" s="50" t="s">
        <v>164</v>
      </c>
      <c r="C19" s="51" t="s">
        <v>149</v>
      </c>
      <c r="D19" s="51" t="s">
        <v>150</v>
      </c>
      <c r="E19" s="52">
        <v>1000</v>
      </c>
      <c r="F19" s="53"/>
      <c r="G19" s="53"/>
      <c r="H19" s="53"/>
      <c r="I19" s="53"/>
      <c r="J19" s="53"/>
      <c r="K19" s="53"/>
      <c r="L19" s="53"/>
      <c r="M19" s="54">
        <f>SUM(F19,G19,H19,I19,J19,K19,L19)</f>
        <v>0</v>
      </c>
      <c r="N19" s="55">
        <f>E19*M19</f>
        <v>0</v>
      </c>
    </row>
    <row r="20" ht="20" customHeight="1" spans="1:14" x14ac:dyDescent="0.25">
      <c r="A20" s="56">
        <v>16</v>
      </c>
      <c r="B20" s="57" t="s">
        <v>165</v>
      </c>
      <c r="C20" s="58" t="s">
        <v>149</v>
      </c>
      <c r="D20" s="58" t="s">
        <v>150</v>
      </c>
      <c r="E20" s="59">
        <v>1100</v>
      </c>
      <c r="F20" s="53"/>
      <c r="G20" s="53"/>
      <c r="H20" s="53"/>
      <c r="I20" s="53"/>
      <c r="J20" s="53"/>
      <c r="K20" s="53"/>
      <c r="L20" s="53"/>
      <c r="M20" s="54">
        <f>SUM(F20,G20,H20,I20,J20,K20,L20)</f>
        <v>0</v>
      </c>
      <c r="N20" s="55">
        <f>E20*M20</f>
        <v>0</v>
      </c>
    </row>
    <row r="21" ht="20" customHeight="1" spans="1:14" x14ac:dyDescent="0.25">
      <c r="A21" s="49">
        <v>17</v>
      </c>
      <c r="B21" s="50" t="s">
        <v>166</v>
      </c>
      <c r="C21" s="51" t="s">
        <v>149</v>
      </c>
      <c r="D21" s="51" t="s">
        <v>150</v>
      </c>
      <c r="E21" s="52">
        <v>0</v>
      </c>
      <c r="F21" s="53"/>
      <c r="G21" s="53"/>
      <c r="H21" s="53"/>
      <c r="I21" s="53"/>
      <c r="J21" s="53"/>
      <c r="K21" s="53"/>
      <c r="L21" s="53"/>
      <c r="M21" s="54">
        <f>SUM(F21,G21,H21,I21,J21,K21,L21)</f>
        <v>0</v>
      </c>
      <c r="N21" s="55">
        <f>E21*M21</f>
        <v>0</v>
      </c>
    </row>
    <row r="22" ht="20" customHeight="1" spans="1:14" x14ac:dyDescent="0.25">
      <c r="A22" s="56">
        <v>18</v>
      </c>
      <c r="B22" s="57" t="s">
        <v>167</v>
      </c>
      <c r="C22" s="58" t="s">
        <v>155</v>
      </c>
      <c r="D22" s="58" t="s">
        <v>150</v>
      </c>
      <c r="E22" s="59">
        <v>700</v>
      </c>
      <c r="F22" s="53"/>
      <c r="G22" s="53"/>
      <c r="H22" s="53"/>
      <c r="I22" s="53"/>
      <c r="J22" s="53"/>
      <c r="K22" s="53"/>
      <c r="L22" s="53"/>
      <c r="M22" s="54">
        <f>SUM(F22,G22,H22,I22,J22,K22,L22)</f>
        <v>0</v>
      </c>
      <c r="N22" s="55">
        <f>E22*M22</f>
        <v>0</v>
      </c>
    </row>
    <row r="24" ht="24" customHeight="1" spans="1:14" x14ac:dyDescent="0.25">
      <c r="B24"/>
      <c r="C24"/>
      <c r="D24"/>
      <c r="E24" s="60">
        <f>AVERAGE(E5:E22)</f>
        <v>0</v>
      </c>
      <c r="F24" s="61">
        <f>SUM(F5:F22)</f>
        <v>0</v>
      </c>
      <c r="G24" s="61">
        <f>SUM(G5:G22)</f>
        <v>0</v>
      </c>
      <c r="H24" s="61">
        <f>SUM(H5:H22)</f>
        <v>0</v>
      </c>
      <c r="I24" s="61">
        <f>SUM(I5:I22)</f>
        <v>0</v>
      </c>
      <c r="J24" s="61">
        <f>SUM(J5:J22)</f>
        <v>0</v>
      </c>
      <c r="K24" s="61">
        <f>SUM(K5:K22)</f>
        <v>0</v>
      </c>
      <c r="L24" s="61">
        <f>SUM(L5:L22)</f>
        <v>0</v>
      </c>
      <c r="M24" s="62">
        <f>SUM(M5:M22)</f>
        <v>0</v>
      </c>
      <c r="N24" s="63">
        <f>SUM(N5:N22)</f>
        <v>0</v>
      </c>
    </row>
  </sheetData>
  <mergeCells count="3">
    <mergeCell ref="A1:N1"/>
    <mergeCell ref="A2:N2"/>
    <mergeCell ref="A24:D24"/>
  </mergeCells>
  <dataValidations count="4">
    <dataValidation type="list" sqref="C10:C22">
      <formula1>"Onsite,Offshore"</formula1>
    </dataValidation>
    <dataValidation type="list" sqref="C5:C22">
      <formula1>"Onsite,Offshore"</formula1>
    </dataValidation>
    <dataValidation type="list" sqref="D10:D22">
      <formula1>"Junior,Senior,Solution Architect,Principal Architect,Project Manager"</formula1>
    </dataValidation>
    <dataValidation type="list" sqref="D5:D22">
      <formula1>"Junior,Senior,Solution Architect,Principal Architect,Project Manager"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5"/>
  <sheetFormatPr defaultRowHeight="15" outlineLevelRow="0" outlineLevelCol="0" x14ac:dyDescent="55"/>
  <cols>
    <col min="1" max="1" width="24" customWidth="1"/>
    <col min="2" max="8" width="16" customWidth="1"/>
    <col min="9" max="9" width="14" customWidth="1"/>
    <col min="10" max="10" width="20" customWidth="1"/>
  </cols>
  <sheetData>
    <row r="1" ht="28" customHeight="1" spans="1:10" x14ac:dyDescent="0.25">
      <c r="A1" s="31" t="s">
        <v>168</v>
      </c>
      <c r="B1" s="31"/>
      <c r="C1" s="31"/>
      <c r="D1" s="31"/>
      <c r="E1" s="31"/>
      <c r="F1" s="31"/>
      <c r="G1" s="31"/>
      <c r="H1" s="31"/>
      <c r="I1" s="31"/>
      <c r="J1" s="31"/>
    </row>
    <row r="2" ht="18" customHeight="1" spans="1:10" x14ac:dyDescent="0.25">
      <c r="A2" s="32" t="s">
        <v>169</v>
      </c>
      <c r="B2" s="32"/>
      <c r="C2" s="32"/>
      <c r="D2" s="32"/>
      <c r="E2" s="32"/>
      <c r="F2" s="32"/>
      <c r="G2" s="32"/>
      <c r="H2" s="32"/>
      <c r="I2" s="32"/>
      <c r="J2" s="32"/>
    </row>
    <row r="3" ht="20" customHeight="1" spans="1:10" x14ac:dyDescent="0.25">
      <c r="A3" s="33"/>
      <c r="B3" s="34" t="s">
        <v>5</v>
      </c>
      <c r="C3" s="35" t="s">
        <v>6</v>
      </c>
      <c r="D3" s="36" t="s">
        <v>7</v>
      </c>
      <c r="E3" s="37" t="s">
        <v>8</v>
      </c>
      <c r="F3" s="38" t="s">
        <v>9</v>
      </c>
      <c r="G3" s="39" t="s">
        <v>10</v>
      </c>
      <c r="H3" s="40" t="s">
        <v>11</v>
      </c>
      <c r="I3" s="41"/>
      <c r="J3" s="41"/>
    </row>
    <row r="4" ht="22" customHeight="1" spans="1:10" x14ac:dyDescent="0.25">
      <c r="A4" s="3" t="s">
        <v>137</v>
      </c>
      <c r="B4" s="42" t="s">
        <v>5</v>
      </c>
      <c r="C4" s="43" t="s">
        <v>6</v>
      </c>
      <c r="D4" s="44" t="s">
        <v>7</v>
      </c>
      <c r="E4" s="45" t="s">
        <v>8</v>
      </c>
      <c r="F4" s="46" t="s">
        <v>9</v>
      </c>
      <c r="G4" s="47" t="s">
        <v>10</v>
      </c>
      <c r="H4" s="48" t="s">
        <v>11</v>
      </c>
      <c r="I4" s="3" t="s">
        <v>146</v>
      </c>
      <c r="J4" s="3" t="s">
        <v>147</v>
      </c>
    </row>
    <row r="5" ht="20" customHeight="1" spans="1:10" x14ac:dyDescent="0.25">
      <c r="A5" s="64" t="s">
        <v>156</v>
      </c>
      <c r="B5" s="65">
        <f>SUMIF('Effort Estimation'!D5:D22,"Junior",'Effort Estimation'!F5:F22)</f>
        <v>0</v>
      </c>
      <c r="C5" s="65">
        <f>SUMIF('Effort Estimation'!D5:D22,"Junior",'Effort Estimation'!G5:G22)</f>
        <v>0</v>
      </c>
      <c r="D5" s="65">
        <f>SUMIF('Effort Estimation'!D5:D22,"Junior",'Effort Estimation'!H5:H22)</f>
        <v>0</v>
      </c>
      <c r="E5" s="65">
        <f>SUMIF('Effort Estimation'!D5:D22,"Junior",'Effort Estimation'!I5:I22)</f>
        <v>0</v>
      </c>
      <c r="F5" s="65">
        <f>SUMIF('Effort Estimation'!D5:D22,"Junior",'Effort Estimation'!J5:J22)</f>
        <v>0</v>
      </c>
      <c r="G5" s="65">
        <f>SUMIF('Effort Estimation'!D5:D22,"Junior",'Effort Estimation'!K5:K22)</f>
        <v>0</v>
      </c>
      <c r="H5" s="65">
        <f>SUMIF('Effort Estimation'!D5:D22,"Junior",'Effort Estimation'!L5:L22)</f>
        <v>0</v>
      </c>
      <c r="I5" s="54">
        <f>SUMIF('Effort Estimation'!D5:D22,"Junior",'Effort Estimation'!M5:M22)</f>
        <v>0</v>
      </c>
      <c r="J5" s="55">
        <f>SUMIF('Effort Estimation'!D5:D22,"Junior",'Effort Estimation'!N5:N22)</f>
        <v>0</v>
      </c>
    </row>
    <row r="6" ht="20" customHeight="1" spans="1:10" x14ac:dyDescent="0.25">
      <c r="A6" s="66" t="s">
        <v>150</v>
      </c>
      <c r="B6" s="67">
        <f>SUMIF('Effort Estimation'!D5:D22,"Senior",'Effort Estimation'!F5:F22)</f>
        <v>0</v>
      </c>
      <c r="C6" s="67">
        <f>SUMIF('Effort Estimation'!D5:D22,"Senior",'Effort Estimation'!G5:G22)</f>
        <v>0</v>
      </c>
      <c r="D6" s="67">
        <f>SUMIF('Effort Estimation'!D5:D22,"Senior",'Effort Estimation'!H5:H22)</f>
        <v>0</v>
      </c>
      <c r="E6" s="67">
        <f>SUMIF('Effort Estimation'!D5:D22,"Senior",'Effort Estimation'!I5:I22)</f>
        <v>0</v>
      </c>
      <c r="F6" s="67">
        <f>SUMIF('Effort Estimation'!D5:D22,"Senior",'Effort Estimation'!J5:J22)</f>
        <v>0</v>
      </c>
      <c r="G6" s="67">
        <f>SUMIF('Effort Estimation'!D5:D22,"Senior",'Effort Estimation'!K5:K22)</f>
        <v>0</v>
      </c>
      <c r="H6" s="67">
        <f>SUMIF('Effort Estimation'!D5:D22,"Senior",'Effort Estimation'!L5:L22)</f>
        <v>0</v>
      </c>
      <c r="I6" s="54">
        <f>SUMIF('Effort Estimation'!D5:D22,"Senior",'Effort Estimation'!M5:M22)</f>
        <v>0</v>
      </c>
      <c r="J6" s="55">
        <f>SUMIF('Effort Estimation'!D5:D22,"Senior",'Effort Estimation'!N5:N22)</f>
        <v>0</v>
      </c>
    </row>
    <row r="7" ht="20" customHeight="1" spans="1:10" x14ac:dyDescent="0.25">
      <c r="A7" s="64" t="s">
        <v>153</v>
      </c>
      <c r="B7" s="65">
        <f>SUMIF('Effort Estimation'!D5:D22,"Solution Architect",'Effort Estimation'!F5:F22)</f>
        <v>0</v>
      </c>
      <c r="C7" s="65">
        <f>SUMIF('Effort Estimation'!D5:D22,"Solution Architect",'Effort Estimation'!G5:G22)</f>
        <v>0</v>
      </c>
      <c r="D7" s="65">
        <f>SUMIF('Effort Estimation'!D5:D22,"Solution Architect",'Effort Estimation'!H5:H22)</f>
        <v>0</v>
      </c>
      <c r="E7" s="65">
        <f>SUMIF('Effort Estimation'!D5:D22,"Solution Architect",'Effort Estimation'!I5:I22)</f>
        <v>0</v>
      </c>
      <c r="F7" s="65">
        <f>SUMIF('Effort Estimation'!D5:D22,"Solution Architect",'Effort Estimation'!J5:J22)</f>
        <v>0</v>
      </c>
      <c r="G7" s="65">
        <f>SUMIF('Effort Estimation'!D5:D22,"Solution Architect",'Effort Estimation'!K5:K22)</f>
        <v>0</v>
      </c>
      <c r="H7" s="65">
        <f>SUMIF('Effort Estimation'!D5:D22,"Solution Architect",'Effort Estimation'!L5:L22)</f>
        <v>0</v>
      </c>
      <c r="I7" s="54">
        <f>SUMIF('Effort Estimation'!D5:D22,"Solution Architect",'Effort Estimation'!M5:M22)</f>
        <v>0</v>
      </c>
      <c r="J7" s="55">
        <f>SUMIF('Effort Estimation'!D5:D22,"Solution Architect",'Effort Estimation'!N5:N22)</f>
        <v>0</v>
      </c>
    </row>
    <row r="8" ht="20" customHeight="1" spans="1:10" x14ac:dyDescent="0.25">
      <c r="A8" s="66" t="s">
        <v>152</v>
      </c>
      <c r="B8" s="67">
        <f>SUMIF('Effort Estimation'!D5:D22,"Principal Architect",'Effort Estimation'!F5:F22)</f>
        <v>0</v>
      </c>
      <c r="C8" s="67">
        <f>SUMIF('Effort Estimation'!D5:D22,"Principal Architect",'Effort Estimation'!G5:G22)</f>
        <v>0</v>
      </c>
      <c r="D8" s="67">
        <f>SUMIF('Effort Estimation'!D5:D22,"Principal Architect",'Effort Estimation'!H5:H22)</f>
        <v>0</v>
      </c>
      <c r="E8" s="67">
        <f>SUMIF('Effort Estimation'!D5:D22,"Principal Architect",'Effort Estimation'!I5:I22)</f>
        <v>0</v>
      </c>
      <c r="F8" s="67">
        <f>SUMIF('Effort Estimation'!D5:D22,"Principal Architect",'Effort Estimation'!J5:J22)</f>
        <v>0</v>
      </c>
      <c r="G8" s="67">
        <f>SUMIF('Effort Estimation'!D5:D22,"Principal Architect",'Effort Estimation'!K5:K22)</f>
        <v>0</v>
      </c>
      <c r="H8" s="67">
        <f>SUMIF('Effort Estimation'!D5:D22,"Principal Architect",'Effort Estimation'!L5:L22)</f>
        <v>0</v>
      </c>
      <c r="I8" s="54">
        <f>SUMIF('Effort Estimation'!D5:D22,"Principal Architect",'Effort Estimation'!M5:M22)</f>
        <v>0</v>
      </c>
      <c r="J8" s="55">
        <f>SUMIF('Effort Estimation'!D5:D22,"Principal Architect",'Effort Estimation'!N5:N22)</f>
        <v>0</v>
      </c>
    </row>
    <row r="9" ht="20" customHeight="1" spans="1:10" x14ac:dyDescent="0.25">
      <c r="A9" s="64" t="s">
        <v>148</v>
      </c>
      <c r="B9" s="65">
        <f>SUMIF('Effort Estimation'!D5:D22,"Project Manager",'Effort Estimation'!F5:F22)</f>
        <v>0</v>
      </c>
      <c r="C9" s="65">
        <f>SUMIF('Effort Estimation'!D5:D22,"Project Manager",'Effort Estimation'!G5:G22)</f>
        <v>0</v>
      </c>
      <c r="D9" s="65">
        <f>SUMIF('Effort Estimation'!D5:D22,"Project Manager",'Effort Estimation'!H5:H22)</f>
        <v>0</v>
      </c>
      <c r="E9" s="65">
        <f>SUMIF('Effort Estimation'!D5:D22,"Project Manager",'Effort Estimation'!I5:I22)</f>
        <v>0</v>
      </c>
      <c r="F9" s="65">
        <f>SUMIF('Effort Estimation'!D5:D22,"Project Manager",'Effort Estimation'!J5:J22)</f>
        <v>0</v>
      </c>
      <c r="G9" s="65">
        <f>SUMIF('Effort Estimation'!D5:D22,"Project Manager",'Effort Estimation'!K5:K22)</f>
        <v>0</v>
      </c>
      <c r="H9" s="65">
        <f>SUMIF('Effort Estimation'!D5:D22,"Project Manager",'Effort Estimation'!L5:L22)</f>
        <v>0</v>
      </c>
      <c r="I9" s="54">
        <f>SUMIF('Effort Estimation'!D5:D22,"Project Manager",'Effort Estimation'!M5:M22)</f>
        <v>0</v>
      </c>
      <c r="J9" s="55">
        <f>SUMIF('Effort Estimation'!D5:D22,"Project Manager",'Effort Estimation'!N5:N22)</f>
        <v>0</v>
      </c>
    </row>
    <row r="11" ht="24" customHeight="1" spans="1:10" x14ac:dyDescent="0.25">
      <c r="A11" s="68" t="s">
        <v>170</v>
      </c>
      <c r="B11" s="61">
        <f>SUM(B5:B9)</f>
        <v>0</v>
      </c>
      <c r="C11" s="61">
        <f>SUM(C5:C9)</f>
        <v>0</v>
      </c>
      <c r="D11" s="61">
        <f>SUM(D5:D9)</f>
        <v>0</v>
      </c>
      <c r="E11" s="61">
        <f>SUM(E5:E9)</f>
        <v>0</v>
      </c>
      <c r="F11" s="61">
        <f>SUM(F5:F9)</f>
        <v>0</v>
      </c>
      <c r="G11" s="61">
        <f>SUM(G5:G9)</f>
        <v>0</v>
      </c>
      <c r="H11" s="61">
        <f>SUM(H5:H9)</f>
        <v>0</v>
      </c>
      <c r="I11" s="62">
        <f>SUM(I5:I9)</f>
        <v>0</v>
      </c>
      <c r="J11" s="63">
        <f>SUM(J5:J9)</f>
        <v>0</v>
      </c>
    </row>
    <row r="13" ht="14" customHeight="1" spans="1:10" x14ac:dyDescent="0.25">
      <c r="A13" s="69" t="s">
        <v>171</v>
      </c>
      <c r="B13" s="69"/>
      <c r="C13" s="69"/>
      <c r="D13" s="69"/>
      <c r="E13" s="69"/>
      <c r="F13" s="69"/>
      <c r="G13" s="69"/>
      <c r="H13" s="69"/>
      <c r="I13" s="69"/>
      <c r="J13" s="69"/>
    </row>
    <row r="14" ht="20" customHeight="1" spans="1:10" x14ac:dyDescent="0.25">
      <c r="A14" s="70" t="s">
        <v>149</v>
      </c>
      <c r="B14" s="71" t="s">
        <v>172</v>
      </c>
      <c r="C14" s="71"/>
      <c r="D14" s="71"/>
      <c r="E14" s="71"/>
      <c r="F14" s="71"/>
      <c r="G14" s="71"/>
      <c r="H14" s="71"/>
      <c r="I14" s="54">
        <f>SUMIF('Effort Estimation'!C5:C22,"Onsite",'Effort Estimation'!M5:M22)</f>
        <v>0</v>
      </c>
      <c r="J14" s="72">
        <f>SUMIF('Effort Estimation'!C5:C22,"Onsite",'Effort Estimation'!N5:N22)</f>
        <v>0</v>
      </c>
    </row>
    <row r="15" ht="20" customHeight="1" spans="1:10" x14ac:dyDescent="0.25">
      <c r="A15" s="73" t="s">
        <v>155</v>
      </c>
      <c r="B15" s="71" t="s">
        <v>172</v>
      </c>
      <c r="C15" s="71"/>
      <c r="D15" s="71"/>
      <c r="E15" s="71"/>
      <c r="F15" s="71"/>
      <c r="G15" s="71"/>
      <c r="H15" s="71"/>
      <c r="I15" s="74">
        <f>SUMIF('Effort Estimation'!C5:C22,"Offshore",'Effort Estimation'!M5:M22)</f>
        <v>0</v>
      </c>
      <c r="J15" s="75">
        <f>SUMIF('Effort Estimation'!C5:C22,"Offshore",'Effort Estimation'!N5:N22)</f>
        <v>0</v>
      </c>
    </row>
  </sheetData>
  <mergeCells count="5">
    <mergeCell ref="A1:J1"/>
    <mergeCell ref="A2:J2"/>
    <mergeCell ref="A13:J13"/>
    <mergeCell ref="B14:H14"/>
    <mergeCell ref="B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Effort Estimation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 Michimap</dc:creator>
  <dc:title/>
  <dc:subject/>
  <dc:description/>
  <cp:keywords/>
  <cp:category/>
  <cp:lastModifiedBy>Unknown</cp:lastModifiedBy>
  <dcterms:created xsi:type="dcterms:W3CDTF">2026-03-21T14:31:23Z</dcterms:created>
  <dcterms:modified xsi:type="dcterms:W3CDTF">2026-03-21T14:31:23Z</dcterms:modified>
</cp:coreProperties>
</file>